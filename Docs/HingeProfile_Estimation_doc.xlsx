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Module Breakdown" sheetId="2" state="visible" r:id="rId4"/>
    <sheet name="Sprint Plan" sheetId="3" state="visible" r:id="rId5"/>
    <sheet name="Assumptions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<sst xmlns="http://schemas.openxmlformats.org/spreadsheetml/2006/main" count="403" uniqueCount="284">
  <si>
    <t xml:space="preserve">AI DATING PROFILE COACH  —  PROJECT ESTIMATION</t>
  </si>
  <si>
    <t xml:space="preserve">Version 1.0  |  Based on SRD V1  |  Estimates in Story Points &amp; Hours</t>
  </si>
  <si>
    <t xml:space="preserve">TOTAL STORY POINTS</t>
  </si>
  <si>
    <t xml:space="preserve">TOTAL EST. HOURS</t>
  </si>
  <si>
    <t xml:space="preserve">MODULES</t>
  </si>
  <si>
    <t xml:space="preserve">SPRINTS (2-WK)</t>
  </si>
  <si>
    <t xml:space="preserve">Module</t>
  </si>
  <si>
    <t xml:space="preserve">Category</t>
  </si>
  <si>
    <t xml:space="preserve">Story Pts</t>
  </si>
  <si>
    <t xml:space="preserve">Low Hrs</t>
  </si>
  <si>
    <t xml:space="preserve">High Hrs</t>
  </si>
  <si>
    <t xml:space="preserve">Avg Hrs</t>
  </si>
  <si>
    <t xml:space="preserve">Priority</t>
  </si>
  <si>
    <t xml:space="preserve">Authentication &amp; User Management</t>
  </si>
  <si>
    <t xml:space="preserve">Infrastructure</t>
  </si>
  <si>
    <t xml:space="preserve">Must Have</t>
  </si>
  <si>
    <t xml:space="preserve">Onboarding Flow &amp; Interview UI</t>
  </si>
  <si>
    <t xml:space="preserve">Frontend</t>
  </si>
  <si>
    <t xml:space="preserve">Interview Agent (AI)</t>
  </si>
  <si>
    <t xml:space="preserve">AI / Backend</t>
  </si>
  <si>
    <t xml:space="preserve">Dynamic Question Engine</t>
  </si>
  <si>
    <t xml:space="preserve">Personality Extraction Agent</t>
  </si>
  <si>
    <t xml:space="preserve">Prompt Library &amp; DB Setup</t>
  </si>
  <si>
    <t xml:space="preserve">Backend / DB</t>
  </si>
  <si>
    <t xml:space="preserve">Prompt Recommendation Engine</t>
  </si>
  <si>
    <t xml:space="preserve">Prompt Answer Generator</t>
  </si>
  <si>
    <t xml:space="preserve">Bio &amp; Tagline Generator</t>
  </si>
  <si>
    <t xml:space="preserve">Photo Recommendation Engine</t>
  </si>
  <si>
    <t xml:space="preserve">Profile Composer Service</t>
  </si>
  <si>
    <t xml:space="preserve">Backend</t>
  </si>
  <si>
    <t xml:space="preserve">Hinge-Style Profile Preview UI</t>
  </si>
  <si>
    <t xml:space="preserve">Copy, Export &amp; Regenerate UI</t>
  </si>
  <si>
    <t xml:space="preserve">Should Have</t>
  </si>
  <si>
    <t xml:space="preserve">MongoDB Schema &amp; Data Layer</t>
  </si>
  <si>
    <t xml:space="preserve">API Layer &amp; Security</t>
  </si>
  <si>
    <t xml:space="preserve">Testing &amp; QA</t>
  </si>
  <si>
    <t xml:space="preserve">QA</t>
  </si>
  <si>
    <t xml:space="preserve">DevOps &amp; Deployment</t>
  </si>
  <si>
    <t xml:space="preserve">DevOps</t>
  </si>
  <si>
    <t xml:space="preserve">TOTAL</t>
  </si>
  <si>
    <t xml:space="preserve">MODULE BREAKDOWN — TASK-LEVEL ESTIMATION</t>
  </si>
  <si>
    <t xml:space="preserve">#</t>
  </si>
  <si>
    <t xml:space="preserve">Module / Task</t>
  </si>
  <si>
    <t xml:space="preserve">Description</t>
  </si>
  <si>
    <t xml:space="preserve">  1. AUTHENTICATION &amp; USER MANAGEMENT</t>
  </si>
  <si>
    <t xml:space="preserve">Clerk integration &amp; auth setup</t>
  </si>
  <si>
    <t xml:space="preserve">Configure Clerk SDK, OAuth providers (Google, Apple), session tokens</t>
  </si>
  <si>
    <t xml:space="preserve">Protected route middleware</t>
  </si>
  <si>
    <t xml:space="preserve">Validate Clerk tokens on every API route handler</t>
  </si>
  <si>
    <t xml:space="preserve">User document creation on first auth</t>
  </si>
  <si>
    <t xml:space="preserve">Create MongoDB user record on first successful sign-in</t>
  </si>
  <si>
    <t xml:space="preserve">Logout &amp; session invalidation</t>
  </si>
  <si>
    <t xml:space="preserve">Implement sign-out flow and token cleanup</t>
  </si>
  <si>
    <t xml:space="preserve">Account deletion &amp; data purge</t>
  </si>
  <si>
    <t xml:space="preserve">Delete user + all associated MongoDB records</t>
  </si>
  <si>
    <t xml:space="preserve">Auth error handling &amp; UX</t>
  </si>
  <si>
    <t xml:space="preserve">Error states, feedback messages, redirect flows</t>
  </si>
  <si>
    <t xml:space="preserve">  2. ONBOARDING FLOW &amp; INTERVIEW UI</t>
  </si>
  <si>
    <t xml:space="preserve">Landing page</t>
  </si>
  <si>
    <t xml:space="preserve">Marketing page with value prop, CTA, responsive layout</t>
  </si>
  <si>
    <t xml:space="preserve">Chat interface component</t>
  </si>
  <si>
    <t xml:space="preserve">Real-time streaming chat UI with message bubbles, typing indicator</t>
  </si>
  <si>
    <t xml:space="preserve">Streaming token rendering</t>
  </si>
  <si>
    <t xml:space="preserve">Integrate Vercel AI SDK streaming into chat UI</t>
  </si>
  <si>
    <t xml:space="preserve">Interview progress indicator</t>
  </si>
  <si>
    <t xml:space="preserve">Visual progress bar showing personality coverage %</t>
  </si>
  <si>
    <t xml:space="preserve">Session resume UX</t>
  </si>
  <si>
    <t xml:space="preserve">Resume paused interview on re-login</t>
  </si>
  <si>
    <t xml:space="preserve">Mobile-responsive layout</t>
  </si>
  <si>
    <t xml:space="preserve">Ensure all interview screens work on mobile</t>
  </si>
  <si>
    <t xml:space="preserve">  3. INTERVIEW AGENT (AI)</t>
  </si>
  <si>
    <t xml:space="preserve">System prompt engineering</t>
  </si>
  <si>
    <t xml:space="preserve">Design and iterate Interview Agent system prompt</t>
  </si>
  <si>
    <t xml:space="preserve">AI</t>
  </si>
  <si>
    <t xml:space="preserve">Conversation history management</t>
  </si>
  <si>
    <t xml:space="preserve">Pass full or windowed conversation history to LLM on each turn</t>
  </si>
  <si>
    <t xml:space="preserve">Follow-up question logic</t>
  </si>
  <si>
    <t xml:space="preserve">Prompt engineering to produce contextual follow-ups</t>
  </si>
  <si>
    <t xml:space="preserve">Streaming API route handler</t>
  </si>
  <si>
    <t xml:space="preserve">Next.js route handler with Vercel AI SDK streaming</t>
  </si>
  <si>
    <t xml:space="preserve">Message storage (MongoDB)</t>
  </si>
  <si>
    <t xml:space="preserve">Save every user/AI message to Messages collection</t>
  </si>
  <si>
    <t xml:space="preserve">Interview termination logic</t>
  </si>
  <si>
    <t xml:space="preserve">Detect when confidence thresholds are met and close interview</t>
  </si>
  <si>
    <t xml:space="preserve">Duplicate question prevention</t>
  </si>
  <si>
    <t xml:space="preserve">Track asked questions and filter LLM output</t>
  </si>
  <si>
    <t xml:space="preserve">LLM retry &amp; error handling</t>
  </si>
  <si>
    <t xml:space="preserve">Exponential backoff, 3 retries, graceful error UX</t>
  </si>
  <si>
    <t xml:space="preserve">  4. DYNAMIC QUESTION ENGINE</t>
  </si>
  <si>
    <t xml:space="preserve">Personality trait map definition</t>
  </si>
  <si>
    <t xml:space="preserve">Define all required traits per Hinge prompt; store as config/DB</t>
  </si>
  <si>
    <t xml:space="preserve">Trait gap detection logic</t>
  </si>
  <si>
    <t xml:space="preserve">After each turn, compute which traits are still missing</t>
  </si>
  <si>
    <t xml:space="preserve">Confidence score calculation</t>
  </si>
  <si>
    <t xml:space="preserve">Score each category 0-100 after each response</t>
  </si>
  <si>
    <t xml:space="preserve">Configurable thresholds</t>
  </si>
  <si>
    <t xml:space="preserve">Allow per-category confidence thresholds</t>
  </si>
  <si>
    <t xml:space="preserve">Dynamic question selection</t>
  </si>
  <si>
    <t xml:space="preserve">Only surface questions that fill identified gaps</t>
  </si>
  <si>
    <t xml:space="preserve">  5. PERSONALITY EXTRACTION AGENT</t>
  </si>
  <si>
    <t xml:space="preserve">Extraction prompt design</t>
  </si>
  <si>
    <t xml:space="preserve">Prompt engineering to convert chat history to JSON personality profile</t>
  </si>
  <si>
    <t xml:space="preserve">JSON schema validation</t>
  </si>
  <si>
    <t xml:space="preserve">Validate extracted profile against PersonalityProfile schema</t>
  </si>
  <si>
    <t xml:space="preserve">PersonalityProfile MongoDB save</t>
  </si>
  <si>
    <t xml:space="preserve">Upsert personality profile to PersonalityProfiles collection</t>
  </si>
  <si>
    <t xml:space="preserve">Extraction trigger on interview end</t>
  </si>
  <si>
    <t xml:space="preserve">Hook extraction agent to interview termination event</t>
  </si>
  <si>
    <t xml:space="preserve">Error handling &amp; retry</t>
  </si>
  <si>
    <t xml:space="preserve">Handle malformed LLM JSON; retry with correction prompt</t>
  </si>
  <si>
    <t xml:space="preserve">  6. PROMPT LIBRARY &amp; DB SETUP</t>
  </si>
  <si>
    <t xml:space="preserve">MongoDB Atlas setup &amp; Mongoose config</t>
  </si>
  <si>
    <t xml:space="preserve">Configure Atlas cluster, connection pooling, env vars</t>
  </si>
  <si>
    <t xml:space="preserve">PromptLibrary collection &amp; schema</t>
  </si>
  <si>
    <t xml:space="preserve">Define Mongoose schema; seed with Hinge prompts + metadata</t>
  </si>
  <si>
    <t xml:space="preserve">All other collection schemas</t>
  </si>
  <si>
    <t xml:space="preserve">Users, Sessions, Messages, PersonalityProfiles, GeneratedProfiles, Feedback</t>
  </si>
  <si>
    <t xml:space="preserve">  7. PROMPT RECOMMENDATION ENGINE</t>
  </si>
  <si>
    <t xml:space="preserve">Trait-to-prompt matching logic</t>
  </si>
  <si>
    <t xml:space="preserve">Algorithm to match personality traits against prompt metadata</t>
  </si>
  <si>
    <t xml:space="preserve">Ranking &amp; selection</t>
  </si>
  <si>
    <t xml:space="preserve">Rank matched prompts; select top N (configurable, default 3)</t>
  </si>
  <si>
    <t xml:space="preserve">API endpoint for recommendations</t>
  </si>
  <si>
    <t xml:space="preserve">Route handler exposing recommendation results to pipeline</t>
  </si>
  <si>
    <t xml:space="preserve">Unit tests for recommendation logic</t>
  </si>
  <si>
    <t xml:space="preserve">Test matching edge cases (missing traits, all traits, etc.)</t>
  </si>
  <si>
    <t xml:space="preserve">  8. PROMPT ANSWER GENERATOR</t>
  </si>
  <si>
    <t xml:space="preserve">Prompt answer generation LLM call</t>
  </si>
  <si>
    <t xml:space="preserve">Per-prompt LLM call using personality profile + prompt as input</t>
  </si>
  <si>
    <t xml:space="preserve">Answer quality prompt engineering</t>
  </si>
  <si>
    <t xml:space="preserve">Iterate prompts for authentic, creative, on-brand answers</t>
  </si>
  <si>
    <t xml:space="preserve">Batch generation support</t>
  </si>
  <si>
    <t xml:space="preserve">Generate all N selected prompt answers in parallel</t>
  </si>
  <si>
    <t xml:space="preserve">Answer storage</t>
  </si>
  <si>
    <t xml:space="preserve">Save answers to GeneratedProfiles collection</t>
  </si>
  <si>
    <t xml:space="preserve">  9. BIO &amp; TAGLINE GENERATOR</t>
  </si>
  <si>
    <t xml:space="preserve">Bio generation LLM call</t>
  </si>
  <si>
    <t xml:space="preserve">Single LLM call producing bio + description + tagline</t>
  </si>
  <si>
    <t xml:space="preserve">Bio prompt engineering</t>
  </si>
  <si>
    <t xml:space="preserve">Iterate prompts for concise, authentic bios</t>
  </si>
  <si>
    <t xml:space="preserve">Bio storage</t>
  </si>
  <si>
    <t xml:space="preserve">Save to GeneratedProfiles collection</t>
  </si>
  <si>
    <t xml:space="preserve">  10. PHOTO RECOMMENDATION ENGINE</t>
  </si>
  <si>
    <t xml:space="preserve">Trait-to-photo-type mapping</t>
  </si>
  <si>
    <t xml:space="preserve">Rule-based mapping (gym -&gt; workout photo, travel -&gt; travel photo)</t>
  </si>
  <si>
    <t xml:space="preserve">Caption generation</t>
  </si>
  <si>
    <t xml:space="preserve">Generate suggested captions per photo type</t>
  </si>
  <si>
    <t xml:space="preserve">Photo order logic</t>
  </si>
  <si>
    <t xml:space="preserve">Determine optimal photo order based on personality</t>
  </si>
  <si>
    <t xml:space="preserve">Photo suggestions storage</t>
  </si>
  <si>
    <t xml:space="preserve">Save photo suggestions to PhotoSuggestions / GeneratedProfiles</t>
  </si>
  <si>
    <t xml:space="preserve">  11. PROFILE COMPOSER SERVICE</t>
  </si>
  <si>
    <t xml:space="preserve">Profile assembly logic</t>
  </si>
  <si>
    <t xml:space="preserve">Merge bio, prompt answers, photo suggestions into one profile object</t>
  </si>
  <si>
    <t xml:space="preserve">GeneratedProfile save</t>
  </si>
  <si>
    <t xml:space="preserve">Upsert complete profile object to GeneratedProfiles collection</t>
  </si>
  <si>
    <t xml:space="preserve">Profile versioning</t>
  </si>
  <si>
    <t xml:space="preserve">Increment version on regeneration; retain history</t>
  </si>
  <si>
    <t xml:space="preserve">Composer API endpoint</t>
  </si>
  <si>
    <t xml:space="preserve">Route handler that triggers full pipeline and returns profile</t>
  </si>
  <si>
    <t xml:space="preserve">  12. HINGE-STYLE PROFILE PREVIEW UI</t>
  </si>
  <si>
    <t xml:space="preserve">Profile card component</t>
  </si>
  <si>
    <t xml:space="preserve">Hinge-style card layout matching real app visual design</t>
  </si>
  <si>
    <t xml:space="preserve">Prompt answer rendering</t>
  </si>
  <si>
    <t xml:space="preserve">Display each prompt + answer in Hinge card style</t>
  </si>
  <si>
    <t xml:space="preserve">Photo placeholder &amp; order display</t>
  </si>
  <si>
    <t xml:space="preserve">Show photo slots with suggestions and recommended order</t>
  </si>
  <si>
    <t xml:space="preserve">Bio &amp; tagline display</t>
  </si>
  <si>
    <t xml:space="preserve">Render bio section matching Hinge layout</t>
  </si>
  <si>
    <t xml:space="preserve">Loading / processing screen</t>
  </si>
  <si>
    <t xml:space="preserve">Animated screen during AI pipeline execution</t>
  </si>
  <si>
    <t xml:space="preserve">Framer Motion animations</t>
  </si>
  <si>
    <t xml:space="preserve">Transition animations between screens</t>
  </si>
  <si>
    <t xml:space="preserve">Mobile optimization of preview</t>
  </si>
  <si>
    <t xml:space="preserve">Ensure Hinge preview works on mobile</t>
  </si>
  <si>
    <t xml:space="preserve">  13. COPY, EXPORT &amp; REGENERATE UI</t>
  </si>
  <si>
    <t xml:space="preserve">Copy individual prompt to clipboard</t>
  </si>
  <si>
    <t xml:space="preserve">One-click copy for each prompt answer</t>
  </si>
  <si>
    <t xml:space="preserve">Regenerate individual section</t>
  </si>
  <si>
    <t xml:space="preserve">Trigger re-generation of bio or single prompt without full re-run</t>
  </si>
  <si>
    <t xml:space="preserve">Export full profile</t>
  </si>
  <si>
    <t xml:space="preserve">Export as plain text or PDF download</t>
  </si>
  <si>
    <t xml:space="preserve">  14. MONGODB SCHEMA &amp; DATA LAYER</t>
  </si>
  <si>
    <t xml:space="preserve">Mongoose model definitions</t>
  </si>
  <si>
    <t xml:space="preserve">All 8 collection schemas with types, validations, indexes</t>
  </si>
  <si>
    <t xml:space="preserve">Index optimization</t>
  </si>
  <si>
    <t xml:space="preserve">Compound indexes on userId + session lookups</t>
  </si>
  <si>
    <t xml:space="preserve">Data access layer / repository pattern</t>
  </si>
  <si>
    <t xml:space="preserve">Centralized DB access functions per collection</t>
  </si>
  <si>
    <t xml:space="preserve">  15. API LAYER &amp; SECURITY</t>
  </si>
  <si>
    <t xml:space="preserve">Auth middleware on all routes</t>
  </si>
  <si>
    <t xml:space="preserve">Verify Clerk token on every route handler</t>
  </si>
  <si>
    <t xml:space="preserve">Rate limiting</t>
  </si>
  <si>
    <t xml:space="preserve">Protect AI endpoints from abuse</t>
  </si>
  <si>
    <t xml:space="preserve">Input validation &amp; sanitization</t>
  </si>
  <si>
    <t xml:space="preserve">Validate all incoming payloads; prevent injection</t>
  </si>
  <si>
    <t xml:space="preserve">Environment variable management</t>
  </si>
  <si>
    <t xml:space="preserve">Secure handling of OpenAI keys, DB URIs, Clerk keys</t>
  </si>
  <si>
    <t xml:space="preserve">Error response standardization</t>
  </si>
  <si>
    <t xml:space="preserve">Consistent error response format across all endpoints</t>
  </si>
  <si>
    <t xml:space="preserve">  16. TESTING &amp; QA</t>
  </si>
  <si>
    <t xml:space="preserve">Unit tests — backend logic</t>
  </si>
  <si>
    <t xml:space="preserve">Jest tests for question engine, extraction, composer</t>
  </si>
  <si>
    <t xml:space="preserve">Integration tests — API routes</t>
  </si>
  <si>
    <t xml:space="preserve">End-to-end route testing with mock LLM responses</t>
  </si>
  <si>
    <t xml:space="preserve">AI output quality review</t>
  </si>
  <si>
    <t xml:space="preserve">Manual review of generated profiles for quality assurance</t>
  </si>
  <si>
    <t xml:space="preserve">Cross-browser &amp; mobile testing</t>
  </si>
  <si>
    <t xml:space="preserve">Test on Chrome, Safari, Firefox; iOS and Android</t>
  </si>
  <si>
    <t xml:space="preserve">Security audit</t>
  </si>
  <si>
    <t xml:space="preserve">API key exposure check, auth bypass testing</t>
  </si>
  <si>
    <t xml:space="preserve">  17. DEVOPS &amp; DEPLOYMENT</t>
  </si>
  <si>
    <t xml:space="preserve">Vercel project setup</t>
  </si>
  <si>
    <t xml:space="preserve">Configure project, environment variables, domains</t>
  </si>
  <si>
    <t xml:space="preserve">CI/CD pipeline</t>
  </si>
  <si>
    <t xml:space="preserve">GitHub Actions for lint, test, deploy on merge</t>
  </si>
  <si>
    <t xml:space="preserve">MongoDB Atlas production config</t>
  </si>
  <si>
    <t xml:space="preserve">IP allowlist, production cluster, backups, monitoring</t>
  </si>
  <si>
    <t xml:space="preserve">TOTAL (Tasks Only)</t>
  </si>
  <si>
    <t xml:space="preserve">SPRINT PLAN — AI DATING PROFILE COACH V1</t>
  </si>
  <si>
    <t xml:space="preserve">Sprint</t>
  </si>
  <si>
    <t xml:space="preserve">Focus Area</t>
  </si>
  <si>
    <t xml:space="preserve">Key Deliverables</t>
  </si>
  <si>
    <t xml:space="preserve">Story Points</t>
  </si>
  <si>
    <t xml:space="preserve">Est. Hours</t>
  </si>
  <si>
    <t xml:space="preserve">Status</t>
  </si>
  <si>
    <t xml:space="preserve">Sprint 1</t>
  </si>
  <si>
    <t xml:space="preserve">Foundation &amp; Auth</t>
  </si>
  <si>
    <t xml:space="preserve">MongoDB Atlas + Mongoose schemas, Clerk auth setup, protected routes, user creation on sign-up, landing page</t>
  </si>
  <si>
    <t xml:space="preserve">Planned</t>
  </si>
  <si>
    <t xml:space="preserve">Sprint 2</t>
  </si>
  <si>
    <t xml:space="preserve">Interview UI &amp; Agent</t>
  </si>
  <si>
    <t xml:space="preserve">Chat interface, Vercel AI SDK streaming, Interview Agent prompt engineering, message storage, session management</t>
  </si>
  <si>
    <t xml:space="preserve">Sprint 3</t>
  </si>
  <si>
    <t xml:space="preserve">Personality trait map, gap detection, confidence scoring per category, configurable thresholds, duplicate prevention</t>
  </si>
  <si>
    <t xml:space="preserve">Sprint 4</t>
  </si>
  <si>
    <t xml:space="preserve">Personality Extraction &amp; Prompt Library</t>
  </si>
  <si>
    <t xml:space="preserve">Extraction Agent + JSON validation, PersonalityProfile upsert, PromptLibrary seeding with full metadata</t>
  </si>
  <si>
    <t xml:space="preserve">Sprint 5</t>
  </si>
  <si>
    <t xml:space="preserve">Recommendation &amp; Generation Engines</t>
  </si>
  <si>
    <t xml:space="preserve">Prompt Recommendation Engine, Prompt Answer Generator (parallel), Bio/Tagline Generator, Photo Recommendation Engine</t>
  </si>
  <si>
    <t xml:space="preserve">Sprint 6</t>
  </si>
  <si>
    <t xml:space="preserve">Profile Composer &amp; Preview UI</t>
  </si>
  <si>
    <t xml:space="preserve">Profile Composer service, Hinge-style preview UI, photo slot display, bio rendering, loading screen, animations</t>
  </si>
  <si>
    <t xml:space="preserve">Sprint 7</t>
  </si>
  <si>
    <t xml:space="preserve">Polish, QA &amp; Deploy</t>
  </si>
  <si>
    <t xml:space="preserve">Copy/export/regenerate UI, mobile optimization, full test suite, security audit, CI/CD pipeline, Vercel prod deploy</t>
  </si>
  <si>
    <t xml:space="preserve">ESTIMATION ASSUMPTIONS &amp; NOTES</t>
  </si>
  <si>
    <t xml:space="preserve">TEAM &amp; VELOCITY</t>
  </si>
  <si>
    <t xml:space="preserve">Sprint Length</t>
  </si>
  <si>
    <t xml:space="preserve">2 weeks (10 working days per sprint)</t>
  </si>
  <si>
    <t xml:space="preserve">Team Velocity</t>
  </si>
  <si>
    <t xml:space="preserve">80 hours / sprint — assumes 1 full-stack dev + part-time AI/ML support</t>
  </si>
  <si>
    <t xml:space="preserve">Story Point Scale</t>
  </si>
  <si>
    <t xml:space="preserve">Fibonacci (1,2,3,5,8,13,21) — 1 SP ~ 1.5-2 hrs average for this project</t>
  </si>
  <si>
    <t xml:space="preserve">Hour Range</t>
  </si>
  <si>
    <t xml:space="preserve">Low = optimistic path. High = includes iteration, review, and ramp-up</t>
  </si>
  <si>
    <t xml:space="preserve">Avg Hours</t>
  </si>
  <si>
    <t xml:space="preserve">(Low + High) / 2 — used for planning and sprint allocation</t>
  </si>
  <si>
    <t xml:space="preserve">ESTIMATION SCOPE</t>
  </si>
  <si>
    <t xml:space="preserve">Scope</t>
  </si>
  <si>
    <t xml:space="preserve">Covers all 17 modules defined in SRD V1</t>
  </si>
  <si>
    <t xml:space="preserve">Excluded (Post-V1)</t>
  </si>
  <si>
    <t xml:space="preserve">AI Photo Rating, Conversation Coach, Profile Roast, Match Prediction, Multi-App Support</t>
  </si>
  <si>
    <t xml:space="preserve">AI Prompt Iteration</t>
  </si>
  <si>
    <t xml:space="preserve">AI prompt engineering carries ±30% variance; High estimates include 1-2 iteration cycles</t>
  </si>
  <si>
    <t xml:space="preserve">Testing estimated separately in Module 16; not double-counted in feature modules</t>
  </si>
  <si>
    <t xml:space="preserve">Assumes Vercel Pro tier; no self-hosted infrastructure required</t>
  </si>
  <si>
    <t xml:space="preserve">RISKS &amp; UNCERTAINTY</t>
  </si>
  <si>
    <t xml:space="preserve">GPT-5.5 Latency</t>
  </si>
  <si>
    <t xml:space="preserve">Streaming latency may require UX adjustments; buffered in Interview Agent estimates</t>
  </si>
  <si>
    <t xml:space="preserve">Prompt Engineering</t>
  </si>
  <si>
    <t xml:space="preserve">AI quality iteration is unpredictable — estimates may expand 20-30%</t>
  </si>
  <si>
    <t xml:space="preserve">Open Questions</t>
  </si>
  <si>
    <t xml:space="preserve">SRD OQ-01 to OQ-07 may add 10-15% overhead once resolved</t>
  </si>
  <si>
    <t xml:space="preserve">Third-Party APIs</t>
  </si>
  <si>
    <t xml:space="preserve">Clerk and MongoDB Atlas assumed stable; unexpected integration issues not budgeted</t>
  </si>
  <si>
    <t xml:space="preserve">Design Handoff</t>
  </si>
  <si>
    <t xml:space="preserve">UI estimates assume finalized design specs are ready at sprint start</t>
  </si>
  <si>
    <t xml:space="preserve">PRIORITY LEGEND</t>
  </si>
  <si>
    <t xml:space="preserve">Core V1 scope — required for product launch</t>
  </si>
  <si>
    <t xml:space="preserve">High value — include if sprint capacity allows</t>
  </si>
  <si>
    <t xml:space="preserve">Nice to Have</t>
  </si>
  <si>
    <t xml:space="preserve">Deferred to V1.1+ if capacity is constrained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</si>
</sst>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1A3C5E"/>
      <name val="Arial"/>
      <family val="0"/>
      <charset val="1"/>
    </font>
    <font>
      <b val="true"/>
      <sz val="9"/>
      <color rgb="FF1A6B3A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26"/>
      <color rgb="FF1A3C5E"/>
      <name val="Arial"/>
      <family val="0"/>
      <charset val="1"/>
    </font>
    <font>
      <b val="true"/>
      <sz val="26"/>
      <color rgb="FF1A6B3A"/>
      <name val="Arial"/>
      <family val="0"/>
      <charset val="1"/>
    </font>
    <font>
      <b val="true"/>
      <sz val="26"/>
      <color rgb="FF7D6608"/>
      <name val="Arial"/>
      <family val="0"/>
      <charset val="1"/>
    </font>
    <font>
      <b val="true"/>
      <sz val="26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66573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2C5F8A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9"/>
      <color rgb="FFD4AC0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2C5F8A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9"/>
      <color rgb="FF333333"/>
      <name val="Arial"/>
      <family val="0"/>
      <charset val="1"/>
    </font>
    <font>
      <sz val="10"/>
      <color rgb="FF33333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2C5F8A"/>
        <bgColor rgb="FF566573"/>
      </patternFill>
    </fill>
    <fill>
      <patternFill patternType="solid">
        <fgColor rgb="FFD6E4F0"/>
        <bgColor rgb="FFD5F5E3"/>
      </patternFill>
    </fill>
    <fill>
      <patternFill patternType="solid">
        <fgColor rgb="FFD5F5E3"/>
        <bgColor rgb="FFCCFFFF"/>
      </patternFill>
    </fill>
    <fill>
      <patternFill patternType="solid">
        <fgColor rgb="FFF9E79F"/>
        <bgColor rgb="FFFADBD8"/>
      </patternFill>
    </fill>
    <fill>
      <patternFill patternType="solid">
        <fgColor rgb="FFFADBD8"/>
        <bgColor rgb="FFF9E79F"/>
      </patternFill>
    </fill>
    <fill>
      <patternFill patternType="solid">
        <fgColor rgb="FFFFFFFF"/>
        <bgColor rgb="FFEBF4FB"/>
      </patternFill>
    </fill>
    <fill>
      <patternFill patternType="solid">
        <fgColor rgb="FFEBF4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6608"/>
      <rgbColor rgb="FF800080"/>
      <rgbColor rgb="FF008080"/>
      <rgbColor rgb="FFCCCCCC"/>
      <rgbColor rgb="FF808080"/>
      <rgbColor rgb="FF9999FF"/>
      <rgbColor rgb="FF993366"/>
      <rgbColor rgb="FFFFFFCC"/>
      <rgbColor rgb="FFEBF4FB"/>
      <rgbColor rgb="FF660066"/>
      <rgbColor rgb="FFFF8080"/>
      <rgbColor rgb="FF2C5F8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9E79F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D4AC0D"/>
      <rgbColor rgb="FFFF6600"/>
      <rgbColor rgb="FF566573"/>
      <rgbColor rgb="FF969696"/>
      <rgbColor rgb="FF1A3C5E"/>
      <rgbColor rgb="FF27AE60"/>
      <rgbColor rgb="FF003300"/>
      <rgbColor rgb="FF333300"/>
      <rgbColor rgb="FFC0392B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3"/>
    <col collapsed="false" customWidth="true" hidden="false" outlineLevel="0" max="3" min="3" style="1" width="17"/>
    <col collapsed="false" customWidth="true" hidden="false" outlineLevel="0" max="6" min="4" style="1" width="14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4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9.75" hidden="false" customHeight="true" outlineLevel="0" collapsed="false"/>
    <row r="4" customFormat="false" ht="19.5" hidden="false" customHeight="true" outlineLevel="0" collapsed="false">
      <c r="B4" s="4" t="s">
        <v>2</v>
      </c>
      <c r="C4" s="4"/>
      <c r="D4" s="5" t="s">
        <v>3</v>
      </c>
      <c r="E4" s="5"/>
      <c r="F4" s="6" t="s">
        <v>4</v>
      </c>
      <c r="G4" s="6"/>
      <c r="H4" s="7" t="s">
        <v>5</v>
      </c>
      <c r="I4" s="7"/>
    </row>
    <row r="5" customFormat="false" ht="19.5" hidden="false" customHeight="true" outlineLevel="0" collapsed="false">
      <c r="B5" s="8" t="n">
        <f aca="false">SUM('Module Breakdown'!E3:E300)</f>
        <v>464</v>
      </c>
      <c r="C5" s="8"/>
      <c r="D5" s="9" t="n">
        <f aca="false">(AVERAGE('Module Breakdown'!F3:F300)+AVERAGE('Module Breakdown'!G3:G300))*1.55</f>
        <v>34.8455696202532</v>
      </c>
      <c r="E5" s="9"/>
      <c r="F5" s="10" t="n">
        <f aca="false">17</f>
        <v>17</v>
      </c>
      <c r="G5" s="10"/>
      <c r="H5" s="11" t="n">
        <f aca="false">7</f>
        <v>7</v>
      </c>
      <c r="I5" s="11"/>
    </row>
    <row r="6" customFormat="false" ht="19.5" hidden="false" customHeight="true" outlineLevel="0" collapsed="false">
      <c r="B6" s="8"/>
      <c r="C6" s="8"/>
      <c r="D6" s="9"/>
      <c r="E6" s="9"/>
      <c r="F6" s="10"/>
      <c r="G6" s="10"/>
      <c r="H6" s="11"/>
      <c r="I6" s="11"/>
    </row>
    <row r="7" customFormat="false" ht="19.5" hidden="false" customHeight="true" outlineLevel="0" collapsed="false">
      <c r="B7" s="12"/>
      <c r="C7" s="12"/>
      <c r="D7" s="13"/>
      <c r="E7" s="13"/>
      <c r="F7" s="14"/>
      <c r="G7" s="14"/>
      <c r="H7" s="15"/>
      <c r="I7" s="15"/>
    </row>
    <row r="8" customFormat="false" ht="12" hidden="false" customHeight="true" outlineLevel="0" collapsed="false"/>
    <row r="9" customFormat="false" ht="21.75" hidden="false" customHeight="true" outlineLevel="0" collapsed="false">
      <c r="A9" s="16"/>
      <c r="B9" s="16" t="s">
        <v>6</v>
      </c>
      <c r="C9" s="16" t="s">
        <v>7</v>
      </c>
      <c r="D9" s="16" t="s">
        <v>8</v>
      </c>
      <c r="E9" s="16" t="s">
        <v>9</v>
      </c>
      <c r="F9" s="16" t="s">
        <v>10</v>
      </c>
      <c r="G9" s="16" t="s">
        <v>11</v>
      </c>
      <c r="H9" s="16" t="s">
        <v>12</v>
      </c>
    </row>
    <row r="10" customFormat="false" ht="18" hidden="false" customHeight="true" outlineLevel="0" collapsed="false">
      <c r="A10" s="17" t="n">
        <v>1</v>
      </c>
      <c r="B10" s="18" t="s">
        <v>13</v>
      </c>
      <c r="C10" s="19" t="s">
        <v>14</v>
      </c>
      <c r="D10" s="20" t="n">
        <v>13</v>
      </c>
      <c r="E10" s="21" t="n">
        <v>16</v>
      </c>
      <c r="F10" s="21" t="n">
        <v>24</v>
      </c>
      <c r="G10" s="22" t="n">
        <f aca="false">AVERAGE(E10,F10)</f>
        <v>20</v>
      </c>
      <c r="H10" s="23" t="s">
        <v>15</v>
      </c>
    </row>
    <row r="11" customFormat="false" ht="18" hidden="false" customHeight="true" outlineLevel="0" collapsed="false">
      <c r="A11" s="24" t="n">
        <v>2</v>
      </c>
      <c r="B11" s="25" t="s">
        <v>16</v>
      </c>
      <c r="C11" s="26" t="s">
        <v>17</v>
      </c>
      <c r="D11" s="27" t="n">
        <v>21</v>
      </c>
      <c r="E11" s="28" t="n">
        <v>32</v>
      </c>
      <c r="F11" s="28" t="n">
        <v>48</v>
      </c>
      <c r="G11" s="29" t="n">
        <f aca="false">AVERAGE(E11,F11)</f>
        <v>40</v>
      </c>
      <c r="H11" s="23" t="s">
        <v>15</v>
      </c>
    </row>
    <row r="12" customFormat="false" ht="18" hidden="false" customHeight="true" outlineLevel="0" collapsed="false">
      <c r="A12" s="17" t="n">
        <v>3</v>
      </c>
      <c r="B12" s="18" t="s">
        <v>18</v>
      </c>
      <c r="C12" s="19" t="s">
        <v>19</v>
      </c>
      <c r="D12" s="20" t="n">
        <v>34</v>
      </c>
      <c r="E12" s="21" t="n">
        <v>48</v>
      </c>
      <c r="F12" s="21" t="n">
        <v>72</v>
      </c>
      <c r="G12" s="22" t="n">
        <f aca="false">AVERAGE(E12,F12)</f>
        <v>60</v>
      </c>
      <c r="H12" s="23" t="s">
        <v>15</v>
      </c>
    </row>
    <row r="13" customFormat="false" ht="18" hidden="false" customHeight="true" outlineLevel="0" collapsed="false">
      <c r="A13" s="24" t="n">
        <v>4</v>
      </c>
      <c r="B13" s="25" t="s">
        <v>20</v>
      </c>
      <c r="C13" s="26" t="s">
        <v>19</v>
      </c>
      <c r="D13" s="27" t="n">
        <v>21</v>
      </c>
      <c r="E13" s="28" t="n">
        <v>32</v>
      </c>
      <c r="F13" s="28" t="n">
        <v>48</v>
      </c>
      <c r="G13" s="29" t="n">
        <f aca="false">AVERAGE(E13,F13)</f>
        <v>40</v>
      </c>
      <c r="H13" s="23" t="s">
        <v>15</v>
      </c>
    </row>
    <row r="14" customFormat="false" ht="18" hidden="false" customHeight="true" outlineLevel="0" collapsed="false">
      <c r="A14" s="17" t="n">
        <v>5</v>
      </c>
      <c r="B14" s="18" t="s">
        <v>21</v>
      </c>
      <c r="C14" s="19" t="s">
        <v>19</v>
      </c>
      <c r="D14" s="20" t="n">
        <v>13</v>
      </c>
      <c r="E14" s="21" t="n">
        <v>20</v>
      </c>
      <c r="F14" s="21" t="n">
        <v>30</v>
      </c>
      <c r="G14" s="22" t="n">
        <f aca="false">AVERAGE(E14,F14)</f>
        <v>25</v>
      </c>
      <c r="H14" s="23" t="s">
        <v>15</v>
      </c>
    </row>
    <row r="15" customFormat="false" ht="18" hidden="false" customHeight="true" outlineLevel="0" collapsed="false">
      <c r="A15" s="24" t="n">
        <v>6</v>
      </c>
      <c r="B15" s="25" t="s">
        <v>22</v>
      </c>
      <c r="C15" s="26" t="s">
        <v>23</v>
      </c>
      <c r="D15" s="27" t="n">
        <v>8</v>
      </c>
      <c r="E15" s="28" t="n">
        <v>10</v>
      </c>
      <c r="F15" s="28" t="n">
        <v>16</v>
      </c>
      <c r="G15" s="29" t="n">
        <f aca="false">AVERAGE(E15,F15)</f>
        <v>13</v>
      </c>
      <c r="H15" s="23" t="s">
        <v>15</v>
      </c>
    </row>
    <row r="16" customFormat="false" ht="18" hidden="false" customHeight="true" outlineLevel="0" collapsed="false">
      <c r="A16" s="17" t="n">
        <v>7</v>
      </c>
      <c r="B16" s="18" t="s">
        <v>24</v>
      </c>
      <c r="C16" s="19" t="s">
        <v>19</v>
      </c>
      <c r="D16" s="20" t="n">
        <v>13</v>
      </c>
      <c r="E16" s="21" t="n">
        <v>16</v>
      </c>
      <c r="F16" s="21" t="n">
        <v>24</v>
      </c>
      <c r="G16" s="22" t="n">
        <f aca="false">AVERAGE(E16,F16)</f>
        <v>20</v>
      </c>
      <c r="H16" s="23" t="s">
        <v>15</v>
      </c>
    </row>
    <row r="17" customFormat="false" ht="18" hidden="false" customHeight="true" outlineLevel="0" collapsed="false">
      <c r="A17" s="24" t="n">
        <v>8</v>
      </c>
      <c r="B17" s="25" t="s">
        <v>25</v>
      </c>
      <c r="C17" s="26" t="s">
        <v>19</v>
      </c>
      <c r="D17" s="27" t="n">
        <v>13</v>
      </c>
      <c r="E17" s="28" t="n">
        <v>16</v>
      </c>
      <c r="F17" s="28" t="n">
        <v>24</v>
      </c>
      <c r="G17" s="29" t="n">
        <f aca="false">AVERAGE(E17,F17)</f>
        <v>20</v>
      </c>
      <c r="H17" s="23" t="s">
        <v>15</v>
      </c>
    </row>
    <row r="18" customFormat="false" ht="18" hidden="false" customHeight="true" outlineLevel="0" collapsed="false">
      <c r="A18" s="17" t="n">
        <v>9</v>
      </c>
      <c r="B18" s="18" t="s">
        <v>26</v>
      </c>
      <c r="C18" s="19" t="s">
        <v>19</v>
      </c>
      <c r="D18" s="20" t="n">
        <v>8</v>
      </c>
      <c r="E18" s="21" t="n">
        <v>10</v>
      </c>
      <c r="F18" s="21" t="n">
        <v>16</v>
      </c>
      <c r="G18" s="22" t="n">
        <f aca="false">AVERAGE(E18,F18)</f>
        <v>13</v>
      </c>
      <c r="H18" s="23" t="s">
        <v>15</v>
      </c>
    </row>
    <row r="19" customFormat="false" ht="18" hidden="false" customHeight="true" outlineLevel="0" collapsed="false">
      <c r="A19" s="24" t="n">
        <v>10</v>
      </c>
      <c r="B19" s="25" t="s">
        <v>27</v>
      </c>
      <c r="C19" s="26" t="s">
        <v>19</v>
      </c>
      <c r="D19" s="27" t="n">
        <v>8</v>
      </c>
      <c r="E19" s="28" t="n">
        <v>10</v>
      </c>
      <c r="F19" s="28" t="n">
        <v>16</v>
      </c>
      <c r="G19" s="29" t="n">
        <f aca="false">AVERAGE(E19,F19)</f>
        <v>13</v>
      </c>
      <c r="H19" s="23" t="s">
        <v>15</v>
      </c>
    </row>
    <row r="20" customFormat="false" ht="18" hidden="false" customHeight="true" outlineLevel="0" collapsed="false">
      <c r="A20" s="17" t="n">
        <v>11</v>
      </c>
      <c r="B20" s="18" t="s">
        <v>28</v>
      </c>
      <c r="C20" s="19" t="s">
        <v>29</v>
      </c>
      <c r="D20" s="20" t="n">
        <v>8</v>
      </c>
      <c r="E20" s="21" t="n">
        <v>12</v>
      </c>
      <c r="F20" s="21" t="n">
        <v>20</v>
      </c>
      <c r="G20" s="22" t="n">
        <f aca="false">AVERAGE(E20,F20)</f>
        <v>16</v>
      </c>
      <c r="H20" s="23" t="s">
        <v>15</v>
      </c>
    </row>
    <row r="21" customFormat="false" ht="18" hidden="false" customHeight="true" outlineLevel="0" collapsed="false">
      <c r="A21" s="24" t="n">
        <v>12</v>
      </c>
      <c r="B21" s="25" t="s">
        <v>30</v>
      </c>
      <c r="C21" s="26" t="s">
        <v>17</v>
      </c>
      <c r="D21" s="27" t="n">
        <v>21</v>
      </c>
      <c r="E21" s="28" t="n">
        <v>32</v>
      </c>
      <c r="F21" s="28" t="n">
        <v>48</v>
      </c>
      <c r="G21" s="29" t="n">
        <f aca="false">AVERAGE(E21,F21)</f>
        <v>40</v>
      </c>
      <c r="H21" s="23" t="s">
        <v>15</v>
      </c>
    </row>
    <row r="22" customFormat="false" ht="18" hidden="false" customHeight="true" outlineLevel="0" collapsed="false">
      <c r="A22" s="17" t="n">
        <v>13</v>
      </c>
      <c r="B22" s="18" t="s">
        <v>31</v>
      </c>
      <c r="C22" s="19" t="s">
        <v>17</v>
      </c>
      <c r="D22" s="20" t="n">
        <v>8</v>
      </c>
      <c r="E22" s="21" t="n">
        <v>10</v>
      </c>
      <c r="F22" s="21" t="n">
        <v>16</v>
      </c>
      <c r="G22" s="22" t="n">
        <f aca="false">AVERAGE(E22,F22)</f>
        <v>13</v>
      </c>
      <c r="H22" s="30" t="s">
        <v>32</v>
      </c>
    </row>
    <row r="23" customFormat="false" ht="18" hidden="false" customHeight="true" outlineLevel="0" collapsed="false">
      <c r="A23" s="24" t="n">
        <v>14</v>
      </c>
      <c r="B23" s="25" t="s">
        <v>33</v>
      </c>
      <c r="C23" s="26" t="s">
        <v>14</v>
      </c>
      <c r="D23" s="27" t="n">
        <v>8</v>
      </c>
      <c r="E23" s="28" t="n">
        <v>12</v>
      </c>
      <c r="F23" s="28" t="n">
        <v>18</v>
      </c>
      <c r="G23" s="29" t="n">
        <f aca="false">AVERAGE(E23,F23)</f>
        <v>15</v>
      </c>
      <c r="H23" s="23" t="s">
        <v>15</v>
      </c>
    </row>
    <row r="24" customFormat="false" ht="18" hidden="false" customHeight="true" outlineLevel="0" collapsed="false">
      <c r="A24" s="17" t="n">
        <v>15</v>
      </c>
      <c r="B24" s="18" t="s">
        <v>34</v>
      </c>
      <c r="C24" s="19" t="s">
        <v>14</v>
      </c>
      <c r="D24" s="20" t="n">
        <v>13</v>
      </c>
      <c r="E24" s="21" t="n">
        <v>16</v>
      </c>
      <c r="F24" s="21" t="n">
        <v>24</v>
      </c>
      <c r="G24" s="22" t="n">
        <f aca="false">AVERAGE(E24,F24)</f>
        <v>20</v>
      </c>
      <c r="H24" s="23" t="s">
        <v>15</v>
      </c>
    </row>
    <row r="25" customFormat="false" ht="18" hidden="false" customHeight="true" outlineLevel="0" collapsed="false">
      <c r="A25" s="24" t="n">
        <v>16</v>
      </c>
      <c r="B25" s="25" t="s">
        <v>35</v>
      </c>
      <c r="C25" s="26" t="s">
        <v>36</v>
      </c>
      <c r="D25" s="27" t="n">
        <v>13</v>
      </c>
      <c r="E25" s="28" t="n">
        <v>24</v>
      </c>
      <c r="F25" s="28" t="n">
        <v>40</v>
      </c>
      <c r="G25" s="29" t="n">
        <f aca="false">AVERAGE(E25,F25)</f>
        <v>32</v>
      </c>
      <c r="H25" s="23" t="s">
        <v>15</v>
      </c>
    </row>
    <row r="26" customFormat="false" ht="18" hidden="false" customHeight="true" outlineLevel="0" collapsed="false">
      <c r="A26" s="17" t="n">
        <v>17</v>
      </c>
      <c r="B26" s="18" t="s">
        <v>37</v>
      </c>
      <c r="C26" s="19" t="s">
        <v>38</v>
      </c>
      <c r="D26" s="20" t="n">
        <v>5</v>
      </c>
      <c r="E26" s="21" t="n">
        <v>8</v>
      </c>
      <c r="F26" s="21" t="n">
        <v>14</v>
      </c>
      <c r="G26" s="22" t="n">
        <f aca="false">AVERAGE(E26,F26)</f>
        <v>11</v>
      </c>
      <c r="H26" s="23" t="s">
        <v>15</v>
      </c>
    </row>
    <row r="27" customFormat="false" ht="21.75" hidden="false" customHeight="true" outlineLevel="0" collapsed="false">
      <c r="A27" s="31" t="s">
        <v>39</v>
      </c>
      <c r="B27" s="31"/>
      <c r="C27" s="31"/>
      <c r="D27" s="32" t="n">
        <f aca="false">SUM(D10:D26)</f>
        <v>228</v>
      </c>
      <c r="E27" s="32" t="n">
        <f aca="false">SUM(E10:E26)</f>
        <v>324</v>
      </c>
      <c r="F27" s="32" t="n">
        <f aca="false">SUM(F10:F26)</f>
        <v>498</v>
      </c>
      <c r="G27" s="32" t="n">
        <f aca="false">AVERAGE(E27,F27)</f>
        <v>411</v>
      </c>
      <c r="H27" s="33"/>
    </row>
  </sheetData>
  <mergeCells count="15">
    <mergeCell ref="A1:H1"/>
    <mergeCell ref="A2:H2"/>
    <mergeCell ref="B4:C4"/>
    <mergeCell ref="D4:E4"/>
    <mergeCell ref="F4:G4"/>
    <mergeCell ref="H4:I4"/>
    <mergeCell ref="B5:C6"/>
    <mergeCell ref="D5:E6"/>
    <mergeCell ref="F5:G6"/>
    <mergeCell ref="H5:I6"/>
    <mergeCell ref="B7:C7"/>
    <mergeCell ref="D7:E7"/>
    <mergeCell ref="F7:G7"/>
    <mergeCell ref="H7:I7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38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7" min="6" style="1" width="12"/>
    <col collapsed="false" customWidth="true" hidden="false" outlineLevel="0" max="8" min="8" style="1" width="14"/>
  </cols>
  <sheetData>
    <row r="1" customFormat="false" ht="39.75" hidden="false" customHeight="true" outlineLevel="0" collapsed="false">
      <c r="A1" s="2" t="s">
        <v>40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4" t="s">
        <v>41</v>
      </c>
      <c r="B2" s="34" t="s">
        <v>42</v>
      </c>
      <c r="C2" s="34" t="s">
        <v>43</v>
      </c>
      <c r="D2" s="34" t="s">
        <v>7</v>
      </c>
      <c r="E2" s="34" t="s">
        <v>8</v>
      </c>
      <c r="F2" s="34" t="s">
        <v>9</v>
      </c>
      <c r="G2" s="34" t="s">
        <v>10</v>
      </c>
      <c r="H2" s="34" t="s">
        <v>11</v>
      </c>
    </row>
    <row r="3" customFormat="false" ht="24" hidden="false" customHeight="true" outlineLevel="0" collapsed="false">
      <c r="A3" s="35" t="s">
        <v>44</v>
      </c>
      <c r="B3" s="35"/>
      <c r="C3" s="35"/>
      <c r="D3" s="35"/>
      <c r="E3" s="35"/>
      <c r="F3" s="35"/>
      <c r="G3" s="35"/>
      <c r="H3" s="35"/>
    </row>
    <row r="4" customFormat="false" ht="19.5" hidden="false" customHeight="true" outlineLevel="0" collapsed="false">
      <c r="A4" s="17" t="n">
        <v>1.1</v>
      </c>
      <c r="B4" s="18" t="s">
        <v>45</v>
      </c>
      <c r="C4" s="36" t="s">
        <v>46</v>
      </c>
      <c r="D4" s="37" t="s">
        <v>14</v>
      </c>
      <c r="E4" s="20" t="n">
        <v>3</v>
      </c>
      <c r="F4" s="21" t="n">
        <v>4</v>
      </c>
      <c r="G4" s="21" t="n">
        <v>6</v>
      </c>
      <c r="H4" s="22" t="n">
        <f aca="false">AVERAGE(F4,G4)</f>
        <v>5</v>
      </c>
    </row>
    <row r="5" customFormat="false" ht="19.5" hidden="false" customHeight="true" outlineLevel="0" collapsed="false">
      <c r="A5" s="24" t="n">
        <v>1.2</v>
      </c>
      <c r="B5" s="25" t="s">
        <v>47</v>
      </c>
      <c r="C5" s="38" t="s">
        <v>48</v>
      </c>
      <c r="D5" s="39" t="s">
        <v>14</v>
      </c>
      <c r="E5" s="27" t="n">
        <v>2</v>
      </c>
      <c r="F5" s="28" t="n">
        <v>2</v>
      </c>
      <c r="G5" s="28" t="n">
        <v>4</v>
      </c>
      <c r="H5" s="29" t="n">
        <f aca="false">AVERAGE(F5,G5)</f>
        <v>3</v>
      </c>
    </row>
    <row r="6" customFormat="false" ht="19.5" hidden="false" customHeight="true" outlineLevel="0" collapsed="false">
      <c r="A6" s="17" t="n">
        <v>1.3</v>
      </c>
      <c r="B6" s="18" t="s">
        <v>49</v>
      </c>
      <c r="C6" s="36" t="s">
        <v>50</v>
      </c>
      <c r="D6" s="37" t="s">
        <v>29</v>
      </c>
      <c r="E6" s="20" t="n">
        <v>2</v>
      </c>
      <c r="F6" s="21" t="n">
        <v>2</v>
      </c>
      <c r="G6" s="21" t="n">
        <v>4</v>
      </c>
      <c r="H6" s="22" t="n">
        <f aca="false">AVERAGE(F6,G6)</f>
        <v>3</v>
      </c>
    </row>
    <row r="7" customFormat="false" ht="19.5" hidden="false" customHeight="true" outlineLevel="0" collapsed="false">
      <c r="A7" s="24" t="n">
        <v>1.4</v>
      </c>
      <c r="B7" s="25" t="s">
        <v>51</v>
      </c>
      <c r="C7" s="38" t="s">
        <v>52</v>
      </c>
      <c r="D7" s="39" t="s">
        <v>17</v>
      </c>
      <c r="E7" s="27" t="n">
        <v>1</v>
      </c>
      <c r="F7" s="28" t="n">
        <v>1</v>
      </c>
      <c r="G7" s="28" t="n">
        <v>2</v>
      </c>
      <c r="H7" s="29" t="n">
        <f aca="false">AVERAGE(F7,G7)</f>
        <v>1.5</v>
      </c>
    </row>
    <row r="8" customFormat="false" ht="19.5" hidden="false" customHeight="true" outlineLevel="0" collapsed="false">
      <c r="A8" s="17" t="n">
        <v>1.5</v>
      </c>
      <c r="B8" s="18" t="s">
        <v>53</v>
      </c>
      <c r="C8" s="36" t="s">
        <v>54</v>
      </c>
      <c r="D8" s="37" t="s">
        <v>29</v>
      </c>
      <c r="E8" s="20" t="n">
        <v>3</v>
      </c>
      <c r="F8" s="21" t="n">
        <v>4</v>
      </c>
      <c r="G8" s="21" t="n">
        <v>6</v>
      </c>
      <c r="H8" s="22" t="n">
        <f aca="false">AVERAGE(F8,G8)</f>
        <v>5</v>
      </c>
    </row>
    <row r="9" customFormat="false" ht="19.5" hidden="false" customHeight="true" outlineLevel="0" collapsed="false">
      <c r="A9" s="24" t="n">
        <v>1.6</v>
      </c>
      <c r="B9" s="25" t="s">
        <v>55</v>
      </c>
      <c r="C9" s="38" t="s">
        <v>56</v>
      </c>
      <c r="D9" s="39" t="s">
        <v>17</v>
      </c>
      <c r="E9" s="27" t="n">
        <v>2</v>
      </c>
      <c r="F9" s="28" t="n">
        <v>3</v>
      </c>
      <c r="G9" s="28" t="n">
        <v>4</v>
      </c>
      <c r="H9" s="29" t="n">
        <f aca="false">AVERAGE(F9,G9)</f>
        <v>3.5</v>
      </c>
    </row>
    <row r="10" customFormat="false" ht="24" hidden="false" customHeight="true" outlineLevel="0" collapsed="false">
      <c r="A10" s="35" t="s">
        <v>57</v>
      </c>
      <c r="B10" s="35"/>
      <c r="C10" s="35"/>
      <c r="D10" s="35"/>
      <c r="E10" s="35"/>
      <c r="F10" s="35"/>
      <c r="G10" s="35"/>
      <c r="H10" s="35"/>
    </row>
    <row r="11" customFormat="false" ht="19.5" hidden="false" customHeight="true" outlineLevel="0" collapsed="false">
      <c r="A11" s="17" t="n">
        <v>2.1</v>
      </c>
      <c r="B11" s="18" t="s">
        <v>58</v>
      </c>
      <c r="C11" s="36" t="s">
        <v>59</v>
      </c>
      <c r="D11" s="37" t="s">
        <v>17</v>
      </c>
      <c r="E11" s="20" t="n">
        <v>3</v>
      </c>
      <c r="F11" s="21" t="n">
        <v>4</v>
      </c>
      <c r="G11" s="21" t="n">
        <v>8</v>
      </c>
      <c r="H11" s="22" t="n">
        <f aca="false">AVERAGE(F11,G11)</f>
        <v>6</v>
      </c>
    </row>
    <row r="12" customFormat="false" ht="19.5" hidden="false" customHeight="true" outlineLevel="0" collapsed="false">
      <c r="A12" s="24" t="n">
        <v>2.2</v>
      </c>
      <c r="B12" s="25" t="s">
        <v>60</v>
      </c>
      <c r="C12" s="38" t="s">
        <v>61</v>
      </c>
      <c r="D12" s="39" t="s">
        <v>17</v>
      </c>
      <c r="E12" s="27" t="n">
        <v>5</v>
      </c>
      <c r="F12" s="28" t="n">
        <v>8</v>
      </c>
      <c r="G12" s="28" t="n">
        <v>14</v>
      </c>
      <c r="H12" s="29" t="n">
        <f aca="false">AVERAGE(F12,G12)</f>
        <v>11</v>
      </c>
    </row>
    <row r="13" customFormat="false" ht="19.5" hidden="false" customHeight="true" outlineLevel="0" collapsed="false">
      <c r="A13" s="17" t="n">
        <v>2.3</v>
      </c>
      <c r="B13" s="18" t="s">
        <v>62</v>
      </c>
      <c r="C13" s="36" t="s">
        <v>63</v>
      </c>
      <c r="D13" s="37" t="s">
        <v>17</v>
      </c>
      <c r="E13" s="20" t="n">
        <v>3</v>
      </c>
      <c r="F13" s="21" t="n">
        <v>4</v>
      </c>
      <c r="G13" s="21" t="n">
        <v>8</v>
      </c>
      <c r="H13" s="22" t="n">
        <f aca="false">AVERAGE(F13,G13)</f>
        <v>6</v>
      </c>
    </row>
    <row r="14" customFormat="false" ht="19.5" hidden="false" customHeight="true" outlineLevel="0" collapsed="false">
      <c r="A14" s="24" t="n">
        <v>2.4</v>
      </c>
      <c r="B14" s="25" t="s">
        <v>64</v>
      </c>
      <c r="C14" s="38" t="s">
        <v>65</v>
      </c>
      <c r="D14" s="39" t="s">
        <v>17</v>
      </c>
      <c r="E14" s="27" t="n">
        <v>3</v>
      </c>
      <c r="F14" s="28" t="n">
        <v>4</v>
      </c>
      <c r="G14" s="28" t="n">
        <v>8</v>
      </c>
      <c r="H14" s="29" t="n">
        <f aca="false">AVERAGE(F14,G14)</f>
        <v>6</v>
      </c>
    </row>
    <row r="15" customFormat="false" ht="19.5" hidden="false" customHeight="true" outlineLevel="0" collapsed="false">
      <c r="A15" s="17" t="n">
        <v>2.5</v>
      </c>
      <c r="B15" s="18" t="s">
        <v>66</v>
      </c>
      <c r="C15" s="36" t="s">
        <v>67</v>
      </c>
      <c r="D15" s="37" t="s">
        <v>17</v>
      </c>
      <c r="E15" s="20" t="n">
        <v>3</v>
      </c>
      <c r="F15" s="21" t="n">
        <v>6</v>
      </c>
      <c r="G15" s="21" t="n">
        <v>8</v>
      </c>
      <c r="H15" s="22" t="n">
        <f aca="false">AVERAGE(F15,G15)</f>
        <v>7</v>
      </c>
    </row>
    <row r="16" customFormat="false" ht="19.5" hidden="false" customHeight="true" outlineLevel="0" collapsed="false">
      <c r="A16" s="24" t="n">
        <v>2.6</v>
      </c>
      <c r="B16" s="25" t="s">
        <v>68</v>
      </c>
      <c r="C16" s="38" t="s">
        <v>69</v>
      </c>
      <c r="D16" s="39" t="s">
        <v>17</v>
      </c>
      <c r="E16" s="27" t="n">
        <v>4</v>
      </c>
      <c r="F16" s="28" t="n">
        <v>6</v>
      </c>
      <c r="G16" s="28" t="n">
        <v>10</v>
      </c>
      <c r="H16" s="29" t="n">
        <f aca="false">AVERAGE(F16,G16)</f>
        <v>8</v>
      </c>
    </row>
    <row r="17" customFormat="false" ht="24" hidden="false" customHeight="true" outlineLevel="0" collapsed="false">
      <c r="A17" s="35" t="s">
        <v>70</v>
      </c>
      <c r="B17" s="35"/>
      <c r="C17" s="35"/>
      <c r="D17" s="35"/>
      <c r="E17" s="35"/>
      <c r="F17" s="35"/>
      <c r="G17" s="35"/>
      <c r="H17" s="35"/>
    </row>
    <row r="18" customFormat="false" ht="19.5" hidden="false" customHeight="true" outlineLevel="0" collapsed="false">
      <c r="A18" s="17" t="n">
        <v>3.1</v>
      </c>
      <c r="B18" s="18" t="s">
        <v>71</v>
      </c>
      <c r="C18" s="36" t="s">
        <v>72</v>
      </c>
      <c r="D18" s="37" t="s">
        <v>73</v>
      </c>
      <c r="E18" s="20" t="n">
        <v>5</v>
      </c>
      <c r="F18" s="21" t="n">
        <v>8</v>
      </c>
      <c r="G18" s="21" t="n">
        <v>12</v>
      </c>
      <c r="H18" s="22" t="n">
        <f aca="false">AVERAGE(F18,G18)</f>
        <v>10</v>
      </c>
    </row>
    <row r="19" customFormat="false" ht="19.5" hidden="false" customHeight="true" outlineLevel="0" collapsed="false">
      <c r="A19" s="24" t="n">
        <v>3.2</v>
      </c>
      <c r="B19" s="25" t="s">
        <v>74</v>
      </c>
      <c r="C19" s="38" t="s">
        <v>75</v>
      </c>
      <c r="D19" s="39" t="s">
        <v>29</v>
      </c>
      <c r="E19" s="27" t="n">
        <v>3</v>
      </c>
      <c r="F19" s="28" t="n">
        <v>4</v>
      </c>
      <c r="G19" s="28" t="n">
        <v>6</v>
      </c>
      <c r="H19" s="29" t="n">
        <f aca="false">AVERAGE(F19,G19)</f>
        <v>5</v>
      </c>
    </row>
    <row r="20" customFormat="false" ht="19.5" hidden="false" customHeight="true" outlineLevel="0" collapsed="false">
      <c r="A20" s="17" t="n">
        <v>3.3</v>
      </c>
      <c r="B20" s="18" t="s">
        <v>76</v>
      </c>
      <c r="C20" s="36" t="s">
        <v>77</v>
      </c>
      <c r="D20" s="37" t="s">
        <v>73</v>
      </c>
      <c r="E20" s="20" t="n">
        <v>5</v>
      </c>
      <c r="F20" s="21" t="n">
        <v>8</v>
      </c>
      <c r="G20" s="21" t="n">
        <v>12</v>
      </c>
      <c r="H20" s="22" t="n">
        <f aca="false">AVERAGE(F20,G20)</f>
        <v>10</v>
      </c>
    </row>
    <row r="21" customFormat="false" ht="19.5" hidden="false" customHeight="true" outlineLevel="0" collapsed="false">
      <c r="A21" s="24" t="n">
        <v>3.4</v>
      </c>
      <c r="B21" s="25" t="s">
        <v>78</v>
      </c>
      <c r="C21" s="38" t="s">
        <v>79</v>
      </c>
      <c r="D21" s="39" t="s">
        <v>29</v>
      </c>
      <c r="E21" s="27" t="n">
        <v>3</v>
      </c>
      <c r="F21" s="28" t="n">
        <v>4</v>
      </c>
      <c r="G21" s="28" t="n">
        <v>8</v>
      </c>
      <c r="H21" s="29" t="n">
        <f aca="false">AVERAGE(F21,G21)</f>
        <v>6</v>
      </c>
    </row>
    <row r="22" customFormat="false" ht="19.5" hidden="false" customHeight="true" outlineLevel="0" collapsed="false">
      <c r="A22" s="17" t="n">
        <v>3.5</v>
      </c>
      <c r="B22" s="18" t="s">
        <v>80</v>
      </c>
      <c r="C22" s="36" t="s">
        <v>81</v>
      </c>
      <c r="D22" s="37" t="s">
        <v>29</v>
      </c>
      <c r="E22" s="20" t="n">
        <v>3</v>
      </c>
      <c r="F22" s="21" t="n">
        <v>4</v>
      </c>
      <c r="G22" s="21" t="n">
        <v>6</v>
      </c>
      <c r="H22" s="22" t="n">
        <f aca="false">AVERAGE(F22,G22)</f>
        <v>5</v>
      </c>
    </row>
    <row r="23" customFormat="false" ht="19.5" hidden="false" customHeight="true" outlineLevel="0" collapsed="false">
      <c r="A23" s="24" t="n">
        <v>3.6</v>
      </c>
      <c r="B23" s="25" t="s">
        <v>82</v>
      </c>
      <c r="C23" s="38" t="s">
        <v>83</v>
      </c>
      <c r="D23" s="39" t="s">
        <v>29</v>
      </c>
      <c r="E23" s="27" t="n">
        <v>5</v>
      </c>
      <c r="F23" s="28" t="n">
        <v>8</v>
      </c>
      <c r="G23" s="28" t="n">
        <v>12</v>
      </c>
      <c r="H23" s="29" t="n">
        <f aca="false">AVERAGE(F23,G23)</f>
        <v>10</v>
      </c>
    </row>
    <row r="24" customFormat="false" ht="19.5" hidden="false" customHeight="true" outlineLevel="0" collapsed="false">
      <c r="A24" s="17" t="n">
        <v>3.7</v>
      </c>
      <c r="B24" s="18" t="s">
        <v>84</v>
      </c>
      <c r="C24" s="36" t="s">
        <v>85</v>
      </c>
      <c r="D24" s="37" t="s">
        <v>29</v>
      </c>
      <c r="E24" s="20" t="n">
        <v>5</v>
      </c>
      <c r="F24" s="21" t="n">
        <v>8</v>
      </c>
      <c r="G24" s="21" t="n">
        <v>12</v>
      </c>
      <c r="H24" s="22" t="n">
        <f aca="false">AVERAGE(F24,G24)</f>
        <v>10</v>
      </c>
    </row>
    <row r="25" customFormat="false" ht="19.5" hidden="false" customHeight="true" outlineLevel="0" collapsed="false">
      <c r="A25" s="24" t="n">
        <v>3.8</v>
      </c>
      <c r="B25" s="25" t="s">
        <v>86</v>
      </c>
      <c r="C25" s="38" t="s">
        <v>87</v>
      </c>
      <c r="D25" s="39" t="s">
        <v>29</v>
      </c>
      <c r="E25" s="27" t="n">
        <v>5</v>
      </c>
      <c r="F25" s="28" t="n">
        <v>8</v>
      </c>
      <c r="G25" s="28" t="n">
        <v>10</v>
      </c>
      <c r="H25" s="29" t="n">
        <f aca="false">AVERAGE(F25,G25)</f>
        <v>9</v>
      </c>
    </row>
    <row r="26" customFormat="false" ht="24" hidden="false" customHeight="true" outlineLevel="0" collapsed="false">
      <c r="A26" s="35" t="s">
        <v>88</v>
      </c>
      <c r="B26" s="35"/>
      <c r="C26" s="35"/>
      <c r="D26" s="35"/>
      <c r="E26" s="35"/>
      <c r="F26" s="35"/>
      <c r="G26" s="35"/>
      <c r="H26" s="35"/>
    </row>
    <row r="27" customFormat="false" ht="19.5" hidden="false" customHeight="true" outlineLevel="0" collapsed="false">
      <c r="A27" s="17" t="n">
        <v>4.1</v>
      </c>
      <c r="B27" s="18" t="s">
        <v>89</v>
      </c>
      <c r="C27" s="36" t="s">
        <v>90</v>
      </c>
      <c r="D27" s="37" t="s">
        <v>29</v>
      </c>
      <c r="E27" s="20" t="n">
        <v>3</v>
      </c>
      <c r="F27" s="21" t="n">
        <v>4</v>
      </c>
      <c r="G27" s="21" t="n">
        <v>8</v>
      </c>
      <c r="H27" s="22" t="n">
        <f aca="false">AVERAGE(F27,G27)</f>
        <v>6</v>
      </c>
    </row>
    <row r="28" customFormat="false" ht="19.5" hidden="false" customHeight="true" outlineLevel="0" collapsed="false">
      <c r="A28" s="24" t="n">
        <v>4.2</v>
      </c>
      <c r="B28" s="25" t="s">
        <v>91</v>
      </c>
      <c r="C28" s="38" t="s">
        <v>92</v>
      </c>
      <c r="D28" s="39" t="s">
        <v>29</v>
      </c>
      <c r="E28" s="27" t="n">
        <v>5</v>
      </c>
      <c r="F28" s="28" t="n">
        <v>8</v>
      </c>
      <c r="G28" s="28" t="n">
        <v>12</v>
      </c>
      <c r="H28" s="29" t="n">
        <f aca="false">AVERAGE(F28,G28)</f>
        <v>10</v>
      </c>
    </row>
    <row r="29" customFormat="false" ht="19.5" hidden="false" customHeight="true" outlineLevel="0" collapsed="false">
      <c r="A29" s="17" t="n">
        <v>4.3</v>
      </c>
      <c r="B29" s="18" t="s">
        <v>93</v>
      </c>
      <c r="C29" s="36" t="s">
        <v>94</v>
      </c>
      <c r="D29" s="37" t="s">
        <v>29</v>
      </c>
      <c r="E29" s="20" t="n">
        <v>5</v>
      </c>
      <c r="F29" s="21" t="n">
        <v>8</v>
      </c>
      <c r="G29" s="21" t="n">
        <v>12</v>
      </c>
      <c r="H29" s="22" t="n">
        <f aca="false">AVERAGE(F29,G29)</f>
        <v>10</v>
      </c>
    </row>
    <row r="30" customFormat="false" ht="19.5" hidden="false" customHeight="true" outlineLevel="0" collapsed="false">
      <c r="A30" s="24" t="n">
        <v>4.4</v>
      </c>
      <c r="B30" s="25" t="s">
        <v>95</v>
      </c>
      <c r="C30" s="38" t="s">
        <v>96</v>
      </c>
      <c r="D30" s="39" t="s">
        <v>29</v>
      </c>
      <c r="E30" s="27" t="n">
        <v>3</v>
      </c>
      <c r="F30" s="28" t="n">
        <v>4</v>
      </c>
      <c r="G30" s="28" t="n">
        <v>6</v>
      </c>
      <c r="H30" s="29" t="n">
        <f aca="false">AVERAGE(F30,G30)</f>
        <v>5</v>
      </c>
    </row>
    <row r="31" customFormat="false" ht="19.5" hidden="false" customHeight="true" outlineLevel="0" collapsed="false">
      <c r="A31" s="17" t="n">
        <v>4.5</v>
      </c>
      <c r="B31" s="18" t="s">
        <v>97</v>
      </c>
      <c r="C31" s="36" t="s">
        <v>98</v>
      </c>
      <c r="D31" s="37" t="s">
        <v>73</v>
      </c>
      <c r="E31" s="20" t="n">
        <v>5</v>
      </c>
      <c r="F31" s="21" t="n">
        <v>8</v>
      </c>
      <c r="G31" s="21" t="n">
        <v>10</v>
      </c>
      <c r="H31" s="22" t="n">
        <f aca="false">AVERAGE(F31,G31)</f>
        <v>9</v>
      </c>
    </row>
    <row r="32" customFormat="false" ht="24" hidden="false" customHeight="true" outlineLevel="0" collapsed="false">
      <c r="A32" s="35" t="s">
        <v>99</v>
      </c>
      <c r="B32" s="35"/>
      <c r="C32" s="35"/>
      <c r="D32" s="35"/>
      <c r="E32" s="35"/>
      <c r="F32" s="35"/>
      <c r="G32" s="35"/>
      <c r="H32" s="35"/>
    </row>
    <row r="33" customFormat="false" ht="19.5" hidden="false" customHeight="true" outlineLevel="0" collapsed="false">
      <c r="A33" s="24" t="n">
        <v>5.1</v>
      </c>
      <c r="B33" s="25" t="s">
        <v>100</v>
      </c>
      <c r="C33" s="38" t="s">
        <v>101</v>
      </c>
      <c r="D33" s="39" t="s">
        <v>73</v>
      </c>
      <c r="E33" s="27" t="n">
        <v>3</v>
      </c>
      <c r="F33" s="28" t="n">
        <v>4</v>
      </c>
      <c r="G33" s="28" t="n">
        <v>8</v>
      </c>
      <c r="H33" s="29" t="n">
        <f aca="false">AVERAGE(F33,G33)</f>
        <v>6</v>
      </c>
    </row>
    <row r="34" customFormat="false" ht="19.5" hidden="false" customHeight="true" outlineLevel="0" collapsed="false">
      <c r="A34" s="17" t="n">
        <v>5.2</v>
      </c>
      <c r="B34" s="18" t="s">
        <v>102</v>
      </c>
      <c r="C34" s="36" t="s">
        <v>103</v>
      </c>
      <c r="D34" s="37" t="s">
        <v>29</v>
      </c>
      <c r="E34" s="20" t="n">
        <v>2</v>
      </c>
      <c r="F34" s="21" t="n">
        <v>4</v>
      </c>
      <c r="G34" s="21" t="n">
        <v>6</v>
      </c>
      <c r="H34" s="22" t="n">
        <f aca="false">AVERAGE(F34,G34)</f>
        <v>5</v>
      </c>
    </row>
    <row r="35" customFormat="false" ht="19.5" hidden="false" customHeight="true" outlineLevel="0" collapsed="false">
      <c r="A35" s="24" t="n">
        <v>5.3</v>
      </c>
      <c r="B35" s="25" t="s">
        <v>104</v>
      </c>
      <c r="C35" s="38" t="s">
        <v>105</v>
      </c>
      <c r="D35" s="39" t="s">
        <v>29</v>
      </c>
      <c r="E35" s="27" t="n">
        <v>2</v>
      </c>
      <c r="F35" s="28" t="n">
        <v>2</v>
      </c>
      <c r="G35" s="28" t="n">
        <v>4</v>
      </c>
      <c r="H35" s="29" t="n">
        <f aca="false">AVERAGE(F35,G35)</f>
        <v>3</v>
      </c>
    </row>
    <row r="36" customFormat="false" ht="19.5" hidden="false" customHeight="true" outlineLevel="0" collapsed="false">
      <c r="A36" s="17" t="n">
        <v>5.4</v>
      </c>
      <c r="B36" s="18" t="s">
        <v>106</v>
      </c>
      <c r="C36" s="36" t="s">
        <v>107</v>
      </c>
      <c r="D36" s="37" t="s">
        <v>29</v>
      </c>
      <c r="E36" s="20" t="n">
        <v>3</v>
      </c>
      <c r="F36" s="21" t="n">
        <v>4</v>
      </c>
      <c r="G36" s="21" t="n">
        <v>6</v>
      </c>
      <c r="H36" s="22" t="n">
        <f aca="false">AVERAGE(F36,G36)</f>
        <v>5</v>
      </c>
    </row>
    <row r="37" customFormat="false" ht="19.5" hidden="false" customHeight="true" outlineLevel="0" collapsed="false">
      <c r="A37" s="24" t="n">
        <v>5.5</v>
      </c>
      <c r="B37" s="25" t="s">
        <v>108</v>
      </c>
      <c r="C37" s="38" t="s">
        <v>109</v>
      </c>
      <c r="D37" s="39" t="s">
        <v>29</v>
      </c>
      <c r="E37" s="27" t="n">
        <v>3</v>
      </c>
      <c r="F37" s="28" t="n">
        <v>4</v>
      </c>
      <c r="G37" s="28" t="n">
        <v>6</v>
      </c>
      <c r="H37" s="29" t="n">
        <f aca="false">AVERAGE(F37,G37)</f>
        <v>5</v>
      </c>
    </row>
    <row r="38" customFormat="false" ht="24" hidden="false" customHeight="true" outlineLevel="0" collapsed="false">
      <c r="A38" s="35" t="s">
        <v>110</v>
      </c>
      <c r="B38" s="35"/>
      <c r="C38" s="35"/>
      <c r="D38" s="35"/>
      <c r="E38" s="35"/>
      <c r="F38" s="35"/>
      <c r="G38" s="35"/>
      <c r="H38" s="35"/>
    </row>
    <row r="39" customFormat="false" ht="19.5" hidden="false" customHeight="true" outlineLevel="0" collapsed="false">
      <c r="A39" s="17" t="n">
        <v>6.1</v>
      </c>
      <c r="B39" s="18" t="s">
        <v>111</v>
      </c>
      <c r="C39" s="36" t="s">
        <v>112</v>
      </c>
      <c r="D39" s="37" t="s">
        <v>14</v>
      </c>
      <c r="E39" s="20" t="n">
        <v>2</v>
      </c>
      <c r="F39" s="21" t="n">
        <v>2</v>
      </c>
      <c r="G39" s="21" t="n">
        <v>4</v>
      </c>
      <c r="H39" s="22" t="n">
        <f aca="false">AVERAGE(F39,G39)</f>
        <v>3</v>
      </c>
    </row>
    <row r="40" customFormat="false" ht="19.5" hidden="false" customHeight="true" outlineLevel="0" collapsed="false">
      <c r="A40" s="24" t="n">
        <v>6.2</v>
      </c>
      <c r="B40" s="25" t="s">
        <v>113</v>
      </c>
      <c r="C40" s="38" t="s">
        <v>114</v>
      </c>
      <c r="D40" s="39" t="s">
        <v>29</v>
      </c>
      <c r="E40" s="27" t="n">
        <v>3</v>
      </c>
      <c r="F40" s="28" t="n">
        <v>4</v>
      </c>
      <c r="G40" s="28" t="n">
        <v>8</v>
      </c>
      <c r="H40" s="29" t="n">
        <f aca="false">AVERAGE(F40,G40)</f>
        <v>6</v>
      </c>
    </row>
    <row r="41" customFormat="false" ht="19.5" hidden="false" customHeight="true" outlineLevel="0" collapsed="false">
      <c r="A41" s="17" t="n">
        <v>6.3</v>
      </c>
      <c r="B41" s="18" t="s">
        <v>115</v>
      </c>
      <c r="C41" s="36" t="s">
        <v>116</v>
      </c>
      <c r="D41" s="37" t="s">
        <v>29</v>
      </c>
      <c r="E41" s="20" t="n">
        <v>3</v>
      </c>
      <c r="F41" s="21" t="n">
        <v>4</v>
      </c>
      <c r="G41" s="21" t="n">
        <v>6</v>
      </c>
      <c r="H41" s="22" t="n">
        <f aca="false">AVERAGE(F41,G41)</f>
        <v>5</v>
      </c>
    </row>
    <row r="42" customFormat="false" ht="24" hidden="false" customHeight="true" outlineLevel="0" collapsed="false">
      <c r="A42" s="35" t="s">
        <v>117</v>
      </c>
      <c r="B42" s="35"/>
      <c r="C42" s="35"/>
      <c r="D42" s="35"/>
      <c r="E42" s="35"/>
      <c r="F42" s="35"/>
      <c r="G42" s="35"/>
      <c r="H42" s="35"/>
    </row>
    <row r="43" customFormat="false" ht="19.5" hidden="false" customHeight="true" outlineLevel="0" collapsed="false">
      <c r="A43" s="24" t="n">
        <v>7.1</v>
      </c>
      <c r="B43" s="25" t="s">
        <v>118</v>
      </c>
      <c r="C43" s="38" t="s">
        <v>119</v>
      </c>
      <c r="D43" s="39" t="s">
        <v>29</v>
      </c>
      <c r="E43" s="27" t="n">
        <v>5</v>
      </c>
      <c r="F43" s="28" t="n">
        <v>8</v>
      </c>
      <c r="G43" s="28" t="n">
        <v>12</v>
      </c>
      <c r="H43" s="29" t="n">
        <f aca="false">AVERAGE(F43,G43)</f>
        <v>10</v>
      </c>
    </row>
    <row r="44" customFormat="false" ht="19.5" hidden="false" customHeight="true" outlineLevel="0" collapsed="false">
      <c r="A44" s="17" t="n">
        <v>7.2</v>
      </c>
      <c r="B44" s="18" t="s">
        <v>120</v>
      </c>
      <c r="C44" s="36" t="s">
        <v>121</v>
      </c>
      <c r="D44" s="37" t="s">
        <v>29</v>
      </c>
      <c r="E44" s="20" t="n">
        <v>3</v>
      </c>
      <c r="F44" s="21" t="n">
        <v>4</v>
      </c>
      <c r="G44" s="21" t="n">
        <v>8</v>
      </c>
      <c r="H44" s="22" t="n">
        <f aca="false">AVERAGE(F44,G44)</f>
        <v>6</v>
      </c>
    </row>
    <row r="45" customFormat="false" ht="19.5" hidden="false" customHeight="true" outlineLevel="0" collapsed="false">
      <c r="A45" s="24" t="n">
        <v>7.3</v>
      </c>
      <c r="B45" s="25" t="s">
        <v>122</v>
      </c>
      <c r="C45" s="38" t="s">
        <v>123</v>
      </c>
      <c r="D45" s="39" t="s">
        <v>29</v>
      </c>
      <c r="E45" s="27" t="n">
        <v>3</v>
      </c>
      <c r="F45" s="28" t="n">
        <v>4</v>
      </c>
      <c r="G45" s="28" t="n">
        <v>6</v>
      </c>
      <c r="H45" s="29" t="n">
        <f aca="false">AVERAGE(F45,G45)</f>
        <v>5</v>
      </c>
    </row>
    <row r="46" customFormat="false" ht="19.5" hidden="false" customHeight="true" outlineLevel="0" collapsed="false">
      <c r="A46" s="17" t="n">
        <v>7.4</v>
      </c>
      <c r="B46" s="18" t="s">
        <v>124</v>
      </c>
      <c r="C46" s="36" t="s">
        <v>125</v>
      </c>
      <c r="D46" s="37" t="s">
        <v>36</v>
      </c>
      <c r="E46" s="20" t="n">
        <v>2</v>
      </c>
      <c r="F46" s="21" t="n">
        <v>4</v>
      </c>
      <c r="G46" s="21" t="n">
        <v>6</v>
      </c>
      <c r="H46" s="22" t="n">
        <f aca="false">AVERAGE(F46,G46)</f>
        <v>5</v>
      </c>
    </row>
    <row r="47" customFormat="false" ht="24" hidden="false" customHeight="true" outlineLevel="0" collapsed="false">
      <c r="A47" s="35" t="s">
        <v>126</v>
      </c>
      <c r="B47" s="35"/>
      <c r="C47" s="35"/>
      <c r="D47" s="35"/>
      <c r="E47" s="35"/>
      <c r="F47" s="35"/>
      <c r="G47" s="35"/>
      <c r="H47" s="35"/>
    </row>
    <row r="48" customFormat="false" ht="19.5" hidden="false" customHeight="true" outlineLevel="0" collapsed="false">
      <c r="A48" s="24" t="n">
        <v>8.1</v>
      </c>
      <c r="B48" s="25" t="s">
        <v>127</v>
      </c>
      <c r="C48" s="38" t="s">
        <v>128</v>
      </c>
      <c r="D48" s="39" t="s">
        <v>73</v>
      </c>
      <c r="E48" s="27" t="n">
        <v>3</v>
      </c>
      <c r="F48" s="28" t="n">
        <v>4</v>
      </c>
      <c r="G48" s="28" t="n">
        <v>8</v>
      </c>
      <c r="H48" s="29" t="n">
        <f aca="false">AVERAGE(F48,G48)</f>
        <v>6</v>
      </c>
    </row>
    <row r="49" customFormat="false" ht="19.5" hidden="false" customHeight="true" outlineLevel="0" collapsed="false">
      <c r="A49" s="17" t="n">
        <v>8.2</v>
      </c>
      <c r="B49" s="18" t="s">
        <v>129</v>
      </c>
      <c r="C49" s="36" t="s">
        <v>130</v>
      </c>
      <c r="D49" s="37" t="s">
        <v>73</v>
      </c>
      <c r="E49" s="20" t="n">
        <v>5</v>
      </c>
      <c r="F49" s="21" t="n">
        <v>8</v>
      </c>
      <c r="G49" s="21" t="n">
        <v>12</v>
      </c>
      <c r="H49" s="22" t="n">
        <f aca="false">AVERAGE(F49,G49)</f>
        <v>10</v>
      </c>
    </row>
    <row r="50" customFormat="false" ht="19.5" hidden="false" customHeight="true" outlineLevel="0" collapsed="false">
      <c r="A50" s="24" t="n">
        <v>8.3</v>
      </c>
      <c r="B50" s="25" t="s">
        <v>131</v>
      </c>
      <c r="C50" s="38" t="s">
        <v>132</v>
      </c>
      <c r="D50" s="39" t="s">
        <v>29</v>
      </c>
      <c r="E50" s="27" t="n">
        <v>3</v>
      </c>
      <c r="F50" s="28" t="n">
        <v>4</v>
      </c>
      <c r="G50" s="28" t="n">
        <v>6</v>
      </c>
      <c r="H50" s="29" t="n">
        <f aca="false">AVERAGE(F50,G50)</f>
        <v>5</v>
      </c>
    </row>
    <row r="51" customFormat="false" ht="19.5" hidden="false" customHeight="true" outlineLevel="0" collapsed="false">
      <c r="A51" s="17" t="n">
        <v>8.4</v>
      </c>
      <c r="B51" s="18" t="s">
        <v>133</v>
      </c>
      <c r="C51" s="36" t="s">
        <v>134</v>
      </c>
      <c r="D51" s="37" t="s">
        <v>29</v>
      </c>
      <c r="E51" s="20" t="n">
        <v>2</v>
      </c>
      <c r="F51" s="21" t="n">
        <v>2</v>
      </c>
      <c r="G51" s="21" t="n">
        <v>4</v>
      </c>
      <c r="H51" s="22" t="n">
        <f aca="false">AVERAGE(F51,G51)</f>
        <v>3</v>
      </c>
    </row>
    <row r="52" customFormat="false" ht="24" hidden="false" customHeight="true" outlineLevel="0" collapsed="false">
      <c r="A52" s="35" t="s">
        <v>135</v>
      </c>
      <c r="B52" s="35"/>
      <c r="C52" s="35"/>
      <c r="D52" s="35"/>
      <c r="E52" s="35"/>
      <c r="F52" s="35"/>
      <c r="G52" s="35"/>
      <c r="H52" s="35"/>
    </row>
    <row r="53" customFormat="false" ht="19.5" hidden="false" customHeight="true" outlineLevel="0" collapsed="false">
      <c r="A53" s="24" t="n">
        <v>9.1</v>
      </c>
      <c r="B53" s="25" t="s">
        <v>136</v>
      </c>
      <c r="C53" s="38" t="s">
        <v>137</v>
      </c>
      <c r="D53" s="39" t="s">
        <v>73</v>
      </c>
      <c r="E53" s="27" t="n">
        <v>3</v>
      </c>
      <c r="F53" s="28" t="n">
        <v>4</v>
      </c>
      <c r="G53" s="28" t="n">
        <v>8</v>
      </c>
      <c r="H53" s="29" t="n">
        <f aca="false">AVERAGE(F53,G53)</f>
        <v>6</v>
      </c>
    </row>
    <row r="54" customFormat="false" ht="19.5" hidden="false" customHeight="true" outlineLevel="0" collapsed="false">
      <c r="A54" s="17" t="n">
        <v>9.2</v>
      </c>
      <c r="B54" s="18" t="s">
        <v>138</v>
      </c>
      <c r="C54" s="36" t="s">
        <v>139</v>
      </c>
      <c r="D54" s="37" t="s">
        <v>73</v>
      </c>
      <c r="E54" s="20" t="n">
        <v>3</v>
      </c>
      <c r="F54" s="21" t="n">
        <v>4</v>
      </c>
      <c r="G54" s="21" t="n">
        <v>6</v>
      </c>
      <c r="H54" s="22" t="n">
        <f aca="false">AVERAGE(F54,G54)</f>
        <v>5</v>
      </c>
    </row>
    <row r="55" customFormat="false" ht="19.5" hidden="false" customHeight="true" outlineLevel="0" collapsed="false">
      <c r="A55" s="24" t="n">
        <v>9.3</v>
      </c>
      <c r="B55" s="25" t="s">
        <v>140</v>
      </c>
      <c r="C55" s="38" t="s">
        <v>141</v>
      </c>
      <c r="D55" s="39" t="s">
        <v>29</v>
      </c>
      <c r="E55" s="27" t="n">
        <v>2</v>
      </c>
      <c r="F55" s="28" t="n">
        <v>2</v>
      </c>
      <c r="G55" s="28" t="n">
        <v>4</v>
      </c>
      <c r="H55" s="29" t="n">
        <f aca="false">AVERAGE(F55,G55)</f>
        <v>3</v>
      </c>
    </row>
    <row r="56" customFormat="false" ht="24" hidden="false" customHeight="true" outlineLevel="0" collapsed="false">
      <c r="A56" s="35" t="s">
        <v>142</v>
      </c>
      <c r="B56" s="35"/>
      <c r="C56" s="35"/>
      <c r="D56" s="35"/>
      <c r="E56" s="35"/>
      <c r="F56" s="35"/>
      <c r="G56" s="35"/>
      <c r="H56" s="35"/>
    </row>
    <row r="57" customFormat="false" ht="19.5" hidden="false" customHeight="true" outlineLevel="0" collapsed="false">
      <c r="A57" s="17" t="n">
        <v>10.1</v>
      </c>
      <c r="B57" s="18" t="s">
        <v>143</v>
      </c>
      <c r="C57" s="36" t="s">
        <v>144</v>
      </c>
      <c r="D57" s="37" t="s">
        <v>29</v>
      </c>
      <c r="E57" s="20" t="n">
        <v>3</v>
      </c>
      <c r="F57" s="21" t="n">
        <v>4</v>
      </c>
      <c r="G57" s="21" t="n">
        <v>8</v>
      </c>
      <c r="H57" s="22" t="n">
        <f aca="false">AVERAGE(F57,G57)</f>
        <v>6</v>
      </c>
    </row>
    <row r="58" customFormat="false" ht="19.5" hidden="false" customHeight="true" outlineLevel="0" collapsed="false">
      <c r="A58" s="24" t="n">
        <v>10.2</v>
      </c>
      <c r="B58" s="25" t="s">
        <v>145</v>
      </c>
      <c r="C58" s="38" t="s">
        <v>146</v>
      </c>
      <c r="D58" s="39" t="s">
        <v>73</v>
      </c>
      <c r="E58" s="27" t="n">
        <v>3</v>
      </c>
      <c r="F58" s="28" t="n">
        <v>4</v>
      </c>
      <c r="G58" s="28" t="n">
        <v>6</v>
      </c>
      <c r="H58" s="29" t="n">
        <f aca="false">AVERAGE(F58,G58)</f>
        <v>5</v>
      </c>
    </row>
    <row r="59" customFormat="false" ht="19.5" hidden="false" customHeight="true" outlineLevel="0" collapsed="false">
      <c r="A59" s="17" t="n">
        <v>10.3</v>
      </c>
      <c r="B59" s="18" t="s">
        <v>147</v>
      </c>
      <c r="C59" s="36" t="s">
        <v>148</v>
      </c>
      <c r="D59" s="37" t="s">
        <v>29</v>
      </c>
      <c r="E59" s="20" t="n">
        <v>2</v>
      </c>
      <c r="F59" s="21" t="n">
        <v>2</v>
      </c>
      <c r="G59" s="21" t="n">
        <v>4</v>
      </c>
      <c r="H59" s="22" t="n">
        <f aca="false">AVERAGE(F59,G59)</f>
        <v>3</v>
      </c>
    </row>
    <row r="60" customFormat="false" ht="19.5" hidden="false" customHeight="true" outlineLevel="0" collapsed="false">
      <c r="A60" s="24" t="n">
        <v>10.4</v>
      </c>
      <c r="B60" s="25" t="s">
        <v>149</v>
      </c>
      <c r="C60" s="38" t="s">
        <v>150</v>
      </c>
      <c r="D60" s="39" t="s">
        <v>29</v>
      </c>
      <c r="E60" s="27" t="n">
        <v>2</v>
      </c>
      <c r="F60" s="28" t="n">
        <v>2</v>
      </c>
      <c r="G60" s="28" t="n">
        <v>4</v>
      </c>
      <c r="H60" s="29" t="n">
        <f aca="false">AVERAGE(F60,G60)</f>
        <v>3</v>
      </c>
    </row>
    <row r="61" customFormat="false" ht="24" hidden="false" customHeight="true" outlineLevel="0" collapsed="false">
      <c r="A61" s="35" t="s">
        <v>151</v>
      </c>
      <c r="B61" s="35"/>
      <c r="C61" s="35"/>
      <c r="D61" s="35"/>
      <c r="E61" s="35"/>
      <c r="F61" s="35"/>
      <c r="G61" s="35"/>
      <c r="H61" s="35"/>
    </row>
    <row r="62" customFormat="false" ht="19.5" hidden="false" customHeight="true" outlineLevel="0" collapsed="false">
      <c r="A62" s="17" t="n">
        <v>11.1</v>
      </c>
      <c r="B62" s="18" t="s">
        <v>152</v>
      </c>
      <c r="C62" s="36" t="s">
        <v>153</v>
      </c>
      <c r="D62" s="37" t="s">
        <v>29</v>
      </c>
      <c r="E62" s="20" t="n">
        <v>3</v>
      </c>
      <c r="F62" s="21" t="n">
        <v>4</v>
      </c>
      <c r="G62" s="21" t="n">
        <v>8</v>
      </c>
      <c r="H62" s="22" t="n">
        <f aca="false">AVERAGE(F62,G62)</f>
        <v>6</v>
      </c>
    </row>
    <row r="63" customFormat="false" ht="19.5" hidden="false" customHeight="true" outlineLevel="0" collapsed="false">
      <c r="A63" s="24" t="n">
        <v>11.2</v>
      </c>
      <c r="B63" s="25" t="s">
        <v>154</v>
      </c>
      <c r="C63" s="38" t="s">
        <v>155</v>
      </c>
      <c r="D63" s="39" t="s">
        <v>29</v>
      </c>
      <c r="E63" s="27" t="n">
        <v>2</v>
      </c>
      <c r="F63" s="28" t="n">
        <v>2</v>
      </c>
      <c r="G63" s="28" t="n">
        <v>4</v>
      </c>
      <c r="H63" s="29" t="n">
        <f aca="false">AVERAGE(F63,G63)</f>
        <v>3</v>
      </c>
    </row>
    <row r="64" customFormat="false" ht="19.5" hidden="false" customHeight="true" outlineLevel="0" collapsed="false">
      <c r="A64" s="17" t="n">
        <v>11.3</v>
      </c>
      <c r="B64" s="18" t="s">
        <v>156</v>
      </c>
      <c r="C64" s="36" t="s">
        <v>157</v>
      </c>
      <c r="D64" s="37" t="s">
        <v>29</v>
      </c>
      <c r="E64" s="20" t="n">
        <v>3</v>
      </c>
      <c r="F64" s="21" t="n">
        <v>4</v>
      </c>
      <c r="G64" s="21" t="n">
        <v>6</v>
      </c>
      <c r="H64" s="22" t="n">
        <f aca="false">AVERAGE(F64,G64)</f>
        <v>5</v>
      </c>
    </row>
    <row r="65" customFormat="false" ht="19.5" hidden="false" customHeight="true" outlineLevel="0" collapsed="false">
      <c r="A65" s="24" t="n">
        <v>11.4</v>
      </c>
      <c r="B65" s="25" t="s">
        <v>158</v>
      </c>
      <c r="C65" s="38" t="s">
        <v>159</v>
      </c>
      <c r="D65" s="39" t="s">
        <v>29</v>
      </c>
      <c r="E65" s="27" t="n">
        <v>2</v>
      </c>
      <c r="F65" s="28" t="n">
        <v>2</v>
      </c>
      <c r="G65" s="28" t="n">
        <v>4</v>
      </c>
      <c r="H65" s="29" t="n">
        <f aca="false">AVERAGE(F65,G65)</f>
        <v>3</v>
      </c>
    </row>
    <row r="66" customFormat="false" ht="24" hidden="false" customHeight="true" outlineLevel="0" collapsed="false">
      <c r="A66" s="35" t="s">
        <v>160</v>
      </c>
      <c r="B66" s="35"/>
      <c r="C66" s="35"/>
      <c r="D66" s="35"/>
      <c r="E66" s="35"/>
      <c r="F66" s="35"/>
      <c r="G66" s="35"/>
      <c r="H66" s="35"/>
    </row>
    <row r="67" customFormat="false" ht="19.5" hidden="false" customHeight="true" outlineLevel="0" collapsed="false">
      <c r="A67" s="17" t="n">
        <v>12.1</v>
      </c>
      <c r="B67" s="18" t="s">
        <v>161</v>
      </c>
      <c r="C67" s="36" t="s">
        <v>162</v>
      </c>
      <c r="D67" s="37" t="s">
        <v>17</v>
      </c>
      <c r="E67" s="20" t="n">
        <v>5</v>
      </c>
      <c r="F67" s="21" t="n">
        <v>8</v>
      </c>
      <c r="G67" s="21" t="n">
        <v>14</v>
      </c>
      <c r="H67" s="22" t="n">
        <f aca="false">AVERAGE(F67,G67)</f>
        <v>11</v>
      </c>
    </row>
    <row r="68" customFormat="false" ht="19.5" hidden="false" customHeight="true" outlineLevel="0" collapsed="false">
      <c r="A68" s="24" t="n">
        <v>12.2</v>
      </c>
      <c r="B68" s="25" t="s">
        <v>163</v>
      </c>
      <c r="C68" s="38" t="s">
        <v>164</v>
      </c>
      <c r="D68" s="39" t="s">
        <v>17</v>
      </c>
      <c r="E68" s="27" t="n">
        <v>3</v>
      </c>
      <c r="F68" s="28" t="n">
        <v>4</v>
      </c>
      <c r="G68" s="28" t="n">
        <v>8</v>
      </c>
      <c r="H68" s="29" t="n">
        <f aca="false">AVERAGE(F68,G68)</f>
        <v>6</v>
      </c>
    </row>
    <row r="69" customFormat="false" ht="19.5" hidden="false" customHeight="true" outlineLevel="0" collapsed="false">
      <c r="A69" s="17" t="n">
        <v>12.3</v>
      </c>
      <c r="B69" s="18" t="s">
        <v>165</v>
      </c>
      <c r="C69" s="36" t="s">
        <v>166</v>
      </c>
      <c r="D69" s="37" t="s">
        <v>17</v>
      </c>
      <c r="E69" s="20" t="n">
        <v>3</v>
      </c>
      <c r="F69" s="21" t="n">
        <v>4</v>
      </c>
      <c r="G69" s="21" t="n">
        <v>8</v>
      </c>
      <c r="H69" s="22" t="n">
        <f aca="false">AVERAGE(F69,G69)</f>
        <v>6</v>
      </c>
    </row>
    <row r="70" customFormat="false" ht="19.5" hidden="false" customHeight="true" outlineLevel="0" collapsed="false">
      <c r="A70" s="24" t="n">
        <v>12.4</v>
      </c>
      <c r="B70" s="25" t="s">
        <v>167</v>
      </c>
      <c r="C70" s="38" t="s">
        <v>168</v>
      </c>
      <c r="D70" s="39" t="s">
        <v>17</v>
      </c>
      <c r="E70" s="27" t="n">
        <v>3</v>
      </c>
      <c r="F70" s="28" t="n">
        <v>4</v>
      </c>
      <c r="G70" s="28" t="n">
        <v>6</v>
      </c>
      <c r="H70" s="29" t="n">
        <f aca="false">AVERAGE(F70,G70)</f>
        <v>5</v>
      </c>
    </row>
    <row r="71" customFormat="false" ht="19.5" hidden="false" customHeight="true" outlineLevel="0" collapsed="false">
      <c r="A71" s="17" t="n">
        <v>12.5</v>
      </c>
      <c r="B71" s="18" t="s">
        <v>169</v>
      </c>
      <c r="C71" s="36" t="s">
        <v>170</v>
      </c>
      <c r="D71" s="37" t="s">
        <v>17</v>
      </c>
      <c r="E71" s="20" t="n">
        <v>3</v>
      </c>
      <c r="F71" s="21" t="n">
        <v>4</v>
      </c>
      <c r="G71" s="21" t="n">
        <v>6</v>
      </c>
      <c r="H71" s="22" t="n">
        <f aca="false">AVERAGE(F71,G71)</f>
        <v>5</v>
      </c>
    </row>
    <row r="72" customFormat="false" ht="19.5" hidden="false" customHeight="true" outlineLevel="0" collapsed="false">
      <c r="A72" s="24" t="n">
        <v>12.6</v>
      </c>
      <c r="B72" s="25" t="s">
        <v>171</v>
      </c>
      <c r="C72" s="38" t="s">
        <v>172</v>
      </c>
      <c r="D72" s="39" t="s">
        <v>17</v>
      </c>
      <c r="E72" s="27" t="n">
        <v>2</v>
      </c>
      <c r="F72" s="28" t="n">
        <v>4</v>
      </c>
      <c r="G72" s="28" t="n">
        <v>6</v>
      </c>
      <c r="H72" s="29" t="n">
        <f aca="false">AVERAGE(F72,G72)</f>
        <v>5</v>
      </c>
    </row>
    <row r="73" customFormat="false" ht="19.5" hidden="false" customHeight="true" outlineLevel="0" collapsed="false">
      <c r="A73" s="17" t="n">
        <v>12.7</v>
      </c>
      <c r="B73" s="18" t="s">
        <v>173</v>
      </c>
      <c r="C73" s="36" t="s">
        <v>174</v>
      </c>
      <c r="D73" s="37" t="s">
        <v>17</v>
      </c>
      <c r="E73" s="20" t="n">
        <v>2</v>
      </c>
      <c r="F73" s="21" t="n">
        <v>4</v>
      </c>
      <c r="G73" s="21" t="n">
        <v>6</v>
      </c>
      <c r="H73" s="22" t="n">
        <f aca="false">AVERAGE(F73,G73)</f>
        <v>5</v>
      </c>
    </row>
    <row r="74" customFormat="false" ht="24" hidden="false" customHeight="true" outlineLevel="0" collapsed="false">
      <c r="A74" s="35" t="s">
        <v>175</v>
      </c>
      <c r="B74" s="35"/>
      <c r="C74" s="35"/>
      <c r="D74" s="35"/>
      <c r="E74" s="35"/>
      <c r="F74" s="35"/>
      <c r="G74" s="35"/>
      <c r="H74" s="35"/>
    </row>
    <row r="75" customFormat="false" ht="19.5" hidden="false" customHeight="true" outlineLevel="0" collapsed="false">
      <c r="A75" s="24" t="n">
        <v>13.1</v>
      </c>
      <c r="B75" s="25" t="s">
        <v>176</v>
      </c>
      <c r="C75" s="38" t="s">
        <v>177</v>
      </c>
      <c r="D75" s="39" t="s">
        <v>17</v>
      </c>
      <c r="E75" s="27" t="n">
        <v>2</v>
      </c>
      <c r="F75" s="28" t="n">
        <v>2</v>
      </c>
      <c r="G75" s="28" t="n">
        <v>4</v>
      </c>
      <c r="H75" s="29" t="n">
        <f aca="false">AVERAGE(F75,G75)</f>
        <v>3</v>
      </c>
    </row>
    <row r="76" customFormat="false" ht="19.5" hidden="false" customHeight="true" outlineLevel="0" collapsed="false">
      <c r="A76" s="17" t="n">
        <v>13.2</v>
      </c>
      <c r="B76" s="18" t="s">
        <v>178</v>
      </c>
      <c r="C76" s="36" t="s">
        <v>179</v>
      </c>
      <c r="D76" s="37" t="s">
        <v>17</v>
      </c>
      <c r="E76" s="20" t="n">
        <v>3</v>
      </c>
      <c r="F76" s="21" t="n">
        <v>4</v>
      </c>
      <c r="G76" s="21" t="n">
        <v>8</v>
      </c>
      <c r="H76" s="22" t="n">
        <f aca="false">AVERAGE(F76,G76)</f>
        <v>6</v>
      </c>
    </row>
    <row r="77" customFormat="false" ht="19.5" hidden="false" customHeight="true" outlineLevel="0" collapsed="false">
      <c r="A77" s="24" t="n">
        <v>13.3</v>
      </c>
      <c r="B77" s="25" t="s">
        <v>180</v>
      </c>
      <c r="C77" s="38" t="s">
        <v>181</v>
      </c>
      <c r="D77" s="39" t="s">
        <v>17</v>
      </c>
      <c r="E77" s="27" t="n">
        <v>3</v>
      </c>
      <c r="F77" s="28" t="n">
        <v>4</v>
      </c>
      <c r="G77" s="28" t="n">
        <v>6</v>
      </c>
      <c r="H77" s="29" t="n">
        <f aca="false">AVERAGE(F77,G77)</f>
        <v>5</v>
      </c>
    </row>
    <row r="78" customFormat="false" ht="24" hidden="false" customHeight="true" outlineLevel="0" collapsed="false">
      <c r="A78" s="35" t="s">
        <v>182</v>
      </c>
      <c r="B78" s="35"/>
      <c r="C78" s="35"/>
      <c r="D78" s="35"/>
      <c r="E78" s="35"/>
      <c r="F78" s="35"/>
      <c r="G78" s="35"/>
      <c r="H78" s="35"/>
    </row>
    <row r="79" customFormat="false" ht="19.5" hidden="false" customHeight="true" outlineLevel="0" collapsed="false">
      <c r="A79" s="17" t="n">
        <v>14.1</v>
      </c>
      <c r="B79" s="18" t="s">
        <v>183</v>
      </c>
      <c r="C79" s="36" t="s">
        <v>184</v>
      </c>
      <c r="D79" s="37" t="s">
        <v>29</v>
      </c>
      <c r="E79" s="20" t="n">
        <v>3</v>
      </c>
      <c r="F79" s="21" t="n">
        <v>4</v>
      </c>
      <c r="G79" s="21" t="n">
        <v>6</v>
      </c>
      <c r="H79" s="22" t="n">
        <f aca="false">AVERAGE(F79,G79)</f>
        <v>5</v>
      </c>
    </row>
    <row r="80" customFormat="false" ht="19.5" hidden="false" customHeight="true" outlineLevel="0" collapsed="false">
      <c r="A80" s="24" t="n">
        <v>14.2</v>
      </c>
      <c r="B80" s="25" t="s">
        <v>185</v>
      </c>
      <c r="C80" s="38" t="s">
        <v>186</v>
      </c>
      <c r="D80" s="39" t="s">
        <v>29</v>
      </c>
      <c r="E80" s="27" t="n">
        <v>2</v>
      </c>
      <c r="F80" s="28" t="n">
        <v>4</v>
      </c>
      <c r="G80" s="28" t="n">
        <v>6</v>
      </c>
      <c r="H80" s="29" t="n">
        <f aca="false">AVERAGE(F80,G80)</f>
        <v>5</v>
      </c>
    </row>
    <row r="81" customFormat="false" ht="19.5" hidden="false" customHeight="true" outlineLevel="0" collapsed="false">
      <c r="A81" s="17" t="n">
        <v>14.3</v>
      </c>
      <c r="B81" s="18" t="s">
        <v>187</v>
      </c>
      <c r="C81" s="36" t="s">
        <v>188</v>
      </c>
      <c r="D81" s="37" t="s">
        <v>29</v>
      </c>
      <c r="E81" s="20" t="n">
        <v>3</v>
      </c>
      <c r="F81" s="21" t="n">
        <v>4</v>
      </c>
      <c r="G81" s="21" t="n">
        <v>6</v>
      </c>
      <c r="H81" s="22" t="n">
        <f aca="false">AVERAGE(F81,G81)</f>
        <v>5</v>
      </c>
    </row>
    <row r="82" customFormat="false" ht="24" hidden="false" customHeight="true" outlineLevel="0" collapsed="false">
      <c r="A82" s="35" t="s">
        <v>189</v>
      </c>
      <c r="B82" s="35"/>
      <c r="C82" s="35"/>
      <c r="D82" s="35"/>
      <c r="E82" s="35"/>
      <c r="F82" s="35"/>
      <c r="G82" s="35"/>
      <c r="H82" s="35"/>
    </row>
    <row r="83" customFormat="false" ht="19.5" hidden="false" customHeight="true" outlineLevel="0" collapsed="false">
      <c r="A83" s="24" t="n">
        <v>15.1</v>
      </c>
      <c r="B83" s="25" t="s">
        <v>190</v>
      </c>
      <c r="C83" s="38" t="s">
        <v>191</v>
      </c>
      <c r="D83" s="39" t="s">
        <v>29</v>
      </c>
      <c r="E83" s="27" t="n">
        <v>2</v>
      </c>
      <c r="F83" s="28" t="n">
        <v>2</v>
      </c>
      <c r="G83" s="28" t="n">
        <v>4</v>
      </c>
      <c r="H83" s="29" t="n">
        <f aca="false">AVERAGE(F83,G83)</f>
        <v>3</v>
      </c>
    </row>
    <row r="84" customFormat="false" ht="19.5" hidden="false" customHeight="true" outlineLevel="0" collapsed="false">
      <c r="A84" s="17" t="n">
        <v>15.2</v>
      </c>
      <c r="B84" s="18" t="s">
        <v>192</v>
      </c>
      <c r="C84" s="36" t="s">
        <v>193</v>
      </c>
      <c r="D84" s="37" t="s">
        <v>29</v>
      </c>
      <c r="E84" s="20" t="n">
        <v>3</v>
      </c>
      <c r="F84" s="21" t="n">
        <v>4</v>
      </c>
      <c r="G84" s="21" t="n">
        <v>6</v>
      </c>
      <c r="H84" s="22" t="n">
        <f aca="false">AVERAGE(F84,G84)</f>
        <v>5</v>
      </c>
    </row>
    <row r="85" customFormat="false" ht="19.5" hidden="false" customHeight="true" outlineLevel="0" collapsed="false">
      <c r="A85" s="24" t="n">
        <v>15.3</v>
      </c>
      <c r="B85" s="25" t="s">
        <v>194</v>
      </c>
      <c r="C85" s="38" t="s">
        <v>195</v>
      </c>
      <c r="D85" s="39" t="s">
        <v>29</v>
      </c>
      <c r="E85" s="27" t="n">
        <v>3</v>
      </c>
      <c r="F85" s="28" t="n">
        <v>4</v>
      </c>
      <c r="G85" s="28" t="n">
        <v>6</v>
      </c>
      <c r="H85" s="29" t="n">
        <f aca="false">AVERAGE(F85,G85)</f>
        <v>5</v>
      </c>
    </row>
    <row r="86" customFormat="false" ht="19.5" hidden="false" customHeight="true" outlineLevel="0" collapsed="false">
      <c r="A86" s="17" t="n">
        <v>15.4</v>
      </c>
      <c r="B86" s="18" t="s">
        <v>196</v>
      </c>
      <c r="C86" s="36" t="s">
        <v>197</v>
      </c>
      <c r="D86" s="37" t="s">
        <v>38</v>
      </c>
      <c r="E86" s="20" t="n">
        <v>2</v>
      </c>
      <c r="F86" s="21" t="n">
        <v>2</v>
      </c>
      <c r="G86" s="21" t="n">
        <v>4</v>
      </c>
      <c r="H86" s="22" t="n">
        <f aca="false">AVERAGE(F86,G86)</f>
        <v>3</v>
      </c>
    </row>
    <row r="87" customFormat="false" ht="19.5" hidden="false" customHeight="true" outlineLevel="0" collapsed="false">
      <c r="A87" s="24" t="n">
        <v>15.5</v>
      </c>
      <c r="B87" s="25" t="s">
        <v>198</v>
      </c>
      <c r="C87" s="38" t="s">
        <v>199</v>
      </c>
      <c r="D87" s="39" t="s">
        <v>29</v>
      </c>
      <c r="E87" s="27" t="n">
        <v>3</v>
      </c>
      <c r="F87" s="28" t="n">
        <v>4</v>
      </c>
      <c r="G87" s="28" t="n">
        <v>6</v>
      </c>
      <c r="H87" s="29" t="n">
        <f aca="false">AVERAGE(F87,G87)</f>
        <v>5</v>
      </c>
    </row>
    <row r="88" customFormat="false" ht="24" hidden="false" customHeight="true" outlineLevel="0" collapsed="false">
      <c r="A88" s="35" t="s">
        <v>200</v>
      </c>
      <c r="B88" s="35"/>
      <c r="C88" s="35"/>
      <c r="D88" s="35"/>
      <c r="E88" s="35"/>
      <c r="F88" s="35"/>
      <c r="G88" s="35"/>
      <c r="H88" s="35"/>
    </row>
    <row r="89" customFormat="false" ht="19.5" hidden="false" customHeight="true" outlineLevel="0" collapsed="false">
      <c r="A89" s="17" t="n">
        <v>16.1</v>
      </c>
      <c r="B89" s="18" t="s">
        <v>201</v>
      </c>
      <c r="C89" s="36" t="s">
        <v>202</v>
      </c>
      <c r="D89" s="37" t="s">
        <v>36</v>
      </c>
      <c r="E89" s="20" t="n">
        <v>3</v>
      </c>
      <c r="F89" s="21" t="n">
        <v>6</v>
      </c>
      <c r="G89" s="21" t="n">
        <v>10</v>
      </c>
      <c r="H89" s="22" t="n">
        <f aca="false">AVERAGE(F89,G89)</f>
        <v>8</v>
      </c>
    </row>
    <row r="90" customFormat="false" ht="19.5" hidden="false" customHeight="true" outlineLevel="0" collapsed="false">
      <c r="A90" s="24" t="n">
        <v>16.2</v>
      </c>
      <c r="B90" s="25" t="s">
        <v>203</v>
      </c>
      <c r="C90" s="38" t="s">
        <v>204</v>
      </c>
      <c r="D90" s="39" t="s">
        <v>36</v>
      </c>
      <c r="E90" s="27" t="n">
        <v>3</v>
      </c>
      <c r="F90" s="28" t="n">
        <v>6</v>
      </c>
      <c r="G90" s="28" t="n">
        <v>10</v>
      </c>
      <c r="H90" s="29" t="n">
        <f aca="false">AVERAGE(F90,G90)</f>
        <v>8</v>
      </c>
    </row>
    <row r="91" customFormat="false" ht="19.5" hidden="false" customHeight="true" outlineLevel="0" collapsed="false">
      <c r="A91" s="17" t="n">
        <v>16.3</v>
      </c>
      <c r="B91" s="18" t="s">
        <v>205</v>
      </c>
      <c r="C91" s="36" t="s">
        <v>206</v>
      </c>
      <c r="D91" s="37" t="s">
        <v>36</v>
      </c>
      <c r="E91" s="20" t="n">
        <v>3</v>
      </c>
      <c r="F91" s="21" t="n">
        <v>6</v>
      </c>
      <c r="G91" s="21" t="n">
        <v>10</v>
      </c>
      <c r="H91" s="22" t="n">
        <f aca="false">AVERAGE(F91,G91)</f>
        <v>8</v>
      </c>
    </row>
    <row r="92" customFormat="false" ht="19.5" hidden="false" customHeight="true" outlineLevel="0" collapsed="false">
      <c r="A92" s="24" t="n">
        <v>16.4</v>
      </c>
      <c r="B92" s="25" t="s">
        <v>207</v>
      </c>
      <c r="C92" s="38" t="s">
        <v>208</v>
      </c>
      <c r="D92" s="39" t="s">
        <v>36</v>
      </c>
      <c r="E92" s="27" t="n">
        <v>2</v>
      </c>
      <c r="F92" s="28" t="n">
        <v>4</v>
      </c>
      <c r="G92" s="28" t="n">
        <v>6</v>
      </c>
      <c r="H92" s="29" t="n">
        <f aca="false">AVERAGE(F92,G92)</f>
        <v>5</v>
      </c>
    </row>
    <row r="93" customFormat="false" ht="19.5" hidden="false" customHeight="true" outlineLevel="0" collapsed="false">
      <c r="A93" s="17" t="n">
        <v>16.5</v>
      </c>
      <c r="B93" s="18" t="s">
        <v>209</v>
      </c>
      <c r="C93" s="36" t="s">
        <v>210</v>
      </c>
      <c r="D93" s="37" t="s">
        <v>36</v>
      </c>
      <c r="E93" s="20" t="n">
        <v>2</v>
      </c>
      <c r="F93" s="21" t="n">
        <v>4</v>
      </c>
      <c r="G93" s="21" t="n">
        <v>6</v>
      </c>
      <c r="H93" s="22" t="n">
        <f aca="false">AVERAGE(F93,G93)</f>
        <v>5</v>
      </c>
    </row>
    <row r="94" customFormat="false" ht="24" hidden="false" customHeight="true" outlineLevel="0" collapsed="false">
      <c r="A94" s="35" t="s">
        <v>211</v>
      </c>
      <c r="B94" s="35"/>
      <c r="C94" s="35"/>
      <c r="D94" s="35"/>
      <c r="E94" s="35"/>
      <c r="F94" s="35"/>
      <c r="G94" s="35"/>
      <c r="H94" s="35"/>
    </row>
    <row r="95" customFormat="false" ht="19.5" hidden="false" customHeight="true" outlineLevel="0" collapsed="false">
      <c r="A95" s="24" t="n">
        <v>17.1</v>
      </c>
      <c r="B95" s="25" t="s">
        <v>212</v>
      </c>
      <c r="C95" s="38" t="s">
        <v>213</v>
      </c>
      <c r="D95" s="39" t="s">
        <v>38</v>
      </c>
      <c r="E95" s="27" t="n">
        <v>1</v>
      </c>
      <c r="F95" s="28" t="n">
        <v>1</v>
      </c>
      <c r="G95" s="28" t="n">
        <v>2</v>
      </c>
      <c r="H95" s="29" t="n">
        <f aca="false">AVERAGE(F95,G95)</f>
        <v>1.5</v>
      </c>
    </row>
    <row r="96" customFormat="false" ht="19.5" hidden="false" customHeight="true" outlineLevel="0" collapsed="false">
      <c r="A96" s="17" t="n">
        <v>17.2</v>
      </c>
      <c r="B96" s="18" t="s">
        <v>214</v>
      </c>
      <c r="C96" s="36" t="s">
        <v>215</v>
      </c>
      <c r="D96" s="37" t="s">
        <v>38</v>
      </c>
      <c r="E96" s="20" t="n">
        <v>2</v>
      </c>
      <c r="F96" s="21" t="n">
        <v>4</v>
      </c>
      <c r="G96" s="21" t="n">
        <v>6</v>
      </c>
      <c r="H96" s="22" t="n">
        <f aca="false">AVERAGE(F96,G96)</f>
        <v>5</v>
      </c>
    </row>
    <row r="97" customFormat="false" ht="19.5" hidden="false" customHeight="true" outlineLevel="0" collapsed="false">
      <c r="A97" s="24" t="n">
        <v>17.3</v>
      </c>
      <c r="B97" s="25" t="s">
        <v>216</v>
      </c>
      <c r="C97" s="38" t="s">
        <v>217</v>
      </c>
      <c r="D97" s="39" t="s">
        <v>38</v>
      </c>
      <c r="E97" s="27" t="n">
        <v>2</v>
      </c>
      <c r="F97" s="28" t="n">
        <v>3</v>
      </c>
      <c r="G97" s="28" t="n">
        <v>6</v>
      </c>
      <c r="H97" s="29" t="n">
        <f aca="false">AVERAGE(F97,G97)</f>
        <v>4.5</v>
      </c>
    </row>
    <row r="98" customFormat="false" ht="24" hidden="false" customHeight="true" outlineLevel="0" collapsed="false">
      <c r="A98" s="31" t="s">
        <v>218</v>
      </c>
      <c r="B98" s="31"/>
      <c r="C98" s="31"/>
      <c r="D98" s="31"/>
      <c r="E98" s="32" t="n">
        <f aca="false">E4+E5+E6+E7+E8+E9+E11+E12+E13+E14+E15+E16+E18+E19+E20+E21+E22+E23+E24+E25+E27+E28+E29+E30+E31+E33+E34+E35+E36+E37+E39+E40+E41+E43+E44+E45+E46+E48+E49+E50+E51+E53+E54+E55+E57+E58+E59+E60+E62+E63+E64+E65+E67+E68+E69+E70+E71+E72+E73+E75+E76+E77+E79+E80+E81+E83+E84+E85+E86+E87+E89+E90+E91+E92+E93+E95+E96+E97</f>
        <v>232</v>
      </c>
      <c r="F98" s="32" t="n">
        <f aca="false">F4+F5+F6+F7+F8+F9+F11+F12+F13+F14+F15+F16+F18+F19+F20+F21+F22+F23+F24+F25+F27+F28+F29+F30+F31+F33+F34+F35+F36+F37+F39+F40+F41+F43+F44+F45+F46+F48+F49+F50+F51+F53+F54+F55+F57+F58+F59+F60+F62+F63+F64+F65+F67+F68+F69+F70+F71+F72+F73+F75+F76+F77+F79+F80+F81+F83+F84+F85+F86+F87+F89+F90+F91+F92+F93+F95+F96+F97</f>
        <v>336</v>
      </c>
      <c r="G98" s="32" t="n">
        <f aca="false">G4+G5+G6+G7+G8+G9+G11+G12+G13+G14+G15+G16+G18+G19+G20+G21+G22+G23+G24+G25+G27+G28+G29+G30+G31+G33+G34+G35+G36+G37+G39+G40+G41+G43+G44+G45+G46+G48+G49+G50+G51+G53+G54+G55+G57+G58+G59+G60+G62+G63+G64+G65+G67+G68+G69+G70+G71+G72+G73+G75+G76+G77+G79+G80+G81+G83+G84+G85+G86+G87+G89+G90+G91+G92+G93+G95+G96+G97</f>
        <v>552</v>
      </c>
      <c r="H98" s="40" t="n">
        <f aca="false">AVERAGE(F98,G98)</f>
        <v>444</v>
      </c>
    </row>
  </sheetData>
  <mergeCells count="19">
    <mergeCell ref="A1:H1"/>
    <mergeCell ref="A3:H3"/>
    <mergeCell ref="A10:H10"/>
    <mergeCell ref="A17:H17"/>
    <mergeCell ref="A26:H26"/>
    <mergeCell ref="A32:H32"/>
    <mergeCell ref="A38:H38"/>
    <mergeCell ref="A42:H42"/>
    <mergeCell ref="A47:H47"/>
    <mergeCell ref="A52:H52"/>
    <mergeCell ref="A56:H56"/>
    <mergeCell ref="A61:H61"/>
    <mergeCell ref="A66:H66"/>
    <mergeCell ref="A74:H74"/>
    <mergeCell ref="A78:H78"/>
    <mergeCell ref="A82:H82"/>
    <mergeCell ref="A88:H88"/>
    <mergeCell ref="A94:H94"/>
    <mergeCell ref="A98:D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6" min="4" style="1" width="14"/>
  </cols>
  <sheetData>
    <row r="1" customFormat="false" ht="39.75" hidden="false" customHeight="true" outlineLevel="0" collapsed="false">
      <c r="A1" s="2" t="s">
        <v>219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4" t="s">
        <v>220</v>
      </c>
      <c r="B2" s="34" t="s">
        <v>221</v>
      </c>
      <c r="C2" s="34" t="s">
        <v>222</v>
      </c>
      <c r="D2" s="34" t="s">
        <v>223</v>
      </c>
      <c r="E2" s="34" t="s">
        <v>224</v>
      </c>
      <c r="F2" s="34" t="s">
        <v>225</v>
      </c>
    </row>
    <row r="3" customFormat="false" ht="43.5" hidden="false" customHeight="true" outlineLevel="0" collapsed="false">
      <c r="A3" s="41" t="s">
        <v>226</v>
      </c>
      <c r="B3" s="42" t="s">
        <v>227</v>
      </c>
      <c r="C3" s="43" t="s">
        <v>228</v>
      </c>
      <c r="D3" s="20" t="n">
        <v>26</v>
      </c>
      <c r="E3" s="44" t="n">
        <v>38</v>
      </c>
      <c r="F3" s="30" t="s">
        <v>229</v>
      </c>
    </row>
    <row r="4" customFormat="false" ht="43.5" hidden="false" customHeight="true" outlineLevel="0" collapsed="false">
      <c r="A4" s="45" t="s">
        <v>230</v>
      </c>
      <c r="B4" s="46" t="s">
        <v>231</v>
      </c>
      <c r="C4" s="47" t="s">
        <v>232</v>
      </c>
      <c r="D4" s="27" t="n">
        <v>34</v>
      </c>
      <c r="E4" s="48" t="n">
        <v>52</v>
      </c>
      <c r="F4" s="30" t="s">
        <v>229</v>
      </c>
    </row>
    <row r="5" customFormat="false" ht="43.5" hidden="false" customHeight="true" outlineLevel="0" collapsed="false">
      <c r="A5" s="49" t="s">
        <v>233</v>
      </c>
      <c r="B5" s="42" t="s">
        <v>20</v>
      </c>
      <c r="C5" s="43" t="s">
        <v>234</v>
      </c>
      <c r="D5" s="20" t="n">
        <v>21</v>
      </c>
      <c r="E5" s="44" t="n">
        <v>38</v>
      </c>
      <c r="F5" s="30" t="s">
        <v>229</v>
      </c>
    </row>
    <row r="6" customFormat="false" ht="43.5" hidden="false" customHeight="true" outlineLevel="0" collapsed="false">
      <c r="A6" s="50" t="s">
        <v>235</v>
      </c>
      <c r="B6" s="46" t="s">
        <v>236</v>
      </c>
      <c r="C6" s="47" t="s">
        <v>237</v>
      </c>
      <c r="D6" s="27" t="n">
        <v>26</v>
      </c>
      <c r="E6" s="48" t="n">
        <v>42</v>
      </c>
      <c r="F6" s="30" t="s">
        <v>229</v>
      </c>
    </row>
    <row r="7" customFormat="false" ht="43.5" hidden="false" customHeight="true" outlineLevel="0" collapsed="false">
      <c r="A7" s="41" t="s">
        <v>238</v>
      </c>
      <c r="B7" s="42" t="s">
        <v>239</v>
      </c>
      <c r="C7" s="43" t="s">
        <v>240</v>
      </c>
      <c r="D7" s="20" t="n">
        <v>42</v>
      </c>
      <c r="E7" s="44" t="n">
        <v>64</v>
      </c>
      <c r="F7" s="30" t="s">
        <v>229</v>
      </c>
    </row>
    <row r="8" customFormat="false" ht="43.5" hidden="false" customHeight="true" outlineLevel="0" collapsed="false">
      <c r="A8" s="45" t="s">
        <v>241</v>
      </c>
      <c r="B8" s="46" t="s">
        <v>242</v>
      </c>
      <c r="C8" s="47" t="s">
        <v>243</v>
      </c>
      <c r="D8" s="27" t="n">
        <v>34</v>
      </c>
      <c r="E8" s="48" t="n">
        <v>54</v>
      </c>
      <c r="F8" s="30" t="s">
        <v>229</v>
      </c>
    </row>
    <row r="9" customFormat="false" ht="43.5" hidden="false" customHeight="true" outlineLevel="0" collapsed="false">
      <c r="A9" s="49" t="s">
        <v>244</v>
      </c>
      <c r="B9" s="42" t="s">
        <v>245</v>
      </c>
      <c r="C9" s="43" t="s">
        <v>246</v>
      </c>
      <c r="D9" s="20" t="n">
        <v>26</v>
      </c>
      <c r="E9" s="44" t="n">
        <v>42</v>
      </c>
      <c r="F9" s="30" t="s">
        <v>229</v>
      </c>
    </row>
    <row r="10" customFormat="false" ht="21.75" hidden="false" customHeight="true" outlineLevel="0" collapsed="false">
      <c r="A10" s="31" t="s">
        <v>39</v>
      </c>
      <c r="B10" s="31"/>
      <c r="C10" s="31"/>
      <c r="D10" s="32" t="n">
        <f aca="false">SUM(D3:D9)</f>
        <v>209</v>
      </c>
      <c r="E10" s="32" t="n">
        <f aca="false">SUM(E3:E9)</f>
        <v>330</v>
      </c>
      <c r="F10" s="33"/>
    </row>
  </sheetData>
  <mergeCells count="2">
    <mergeCell ref="A1:F1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62"/>
  </cols>
  <sheetData>
    <row r="1" customFormat="false" ht="39.75" hidden="false" customHeight="true" outlineLevel="0" collapsed="false">
      <c r="A1" s="2" t="s">
        <v>247</v>
      </c>
      <c r="B1" s="2"/>
      <c r="C1" s="2"/>
    </row>
    <row r="3" customFormat="false" ht="21.75" hidden="false" customHeight="true" outlineLevel="0" collapsed="false">
      <c r="A3" s="51" t="s">
        <v>248</v>
      </c>
      <c r="B3" s="51"/>
      <c r="C3" s="51"/>
    </row>
    <row r="4" customFormat="false" ht="21.75" hidden="false" customHeight="true" outlineLevel="0" collapsed="false">
      <c r="A4" s="17" t="n">
        <v>1</v>
      </c>
      <c r="B4" s="42" t="s">
        <v>249</v>
      </c>
      <c r="C4" s="52" t="s">
        <v>250</v>
      </c>
    </row>
    <row r="5" customFormat="false" ht="21.75" hidden="false" customHeight="true" outlineLevel="0" collapsed="false">
      <c r="A5" s="24" t="n">
        <v>2</v>
      </c>
      <c r="B5" s="46" t="s">
        <v>251</v>
      </c>
      <c r="C5" s="53" t="s">
        <v>252</v>
      </c>
    </row>
    <row r="6" customFormat="false" ht="21.75" hidden="false" customHeight="true" outlineLevel="0" collapsed="false">
      <c r="A6" s="17" t="n">
        <v>3</v>
      </c>
      <c r="B6" s="42" t="s">
        <v>253</v>
      </c>
      <c r="C6" s="52" t="s">
        <v>254</v>
      </c>
    </row>
    <row r="7" customFormat="false" ht="21.75" hidden="false" customHeight="true" outlineLevel="0" collapsed="false">
      <c r="A7" s="24" t="n">
        <v>4</v>
      </c>
      <c r="B7" s="46" t="s">
        <v>255</v>
      </c>
      <c r="C7" s="53" t="s">
        <v>256</v>
      </c>
    </row>
    <row r="8" customFormat="false" ht="21.75" hidden="false" customHeight="true" outlineLevel="0" collapsed="false">
      <c r="A8" s="17" t="n">
        <v>5</v>
      </c>
      <c r="B8" s="42" t="s">
        <v>257</v>
      </c>
      <c r="C8" s="52" t="s">
        <v>258</v>
      </c>
    </row>
    <row r="10" customFormat="false" ht="21.75" hidden="false" customHeight="true" outlineLevel="0" collapsed="false">
      <c r="A10" s="51" t="s">
        <v>259</v>
      </c>
      <c r="B10" s="51"/>
      <c r="C10" s="51"/>
    </row>
    <row r="11" customFormat="false" ht="21.75" hidden="false" customHeight="true" outlineLevel="0" collapsed="false">
      <c r="A11" s="17" t="n">
        <v>1</v>
      </c>
      <c r="B11" s="42" t="s">
        <v>260</v>
      </c>
      <c r="C11" s="52" t="s">
        <v>261</v>
      </c>
    </row>
    <row r="12" customFormat="false" ht="21.75" hidden="false" customHeight="true" outlineLevel="0" collapsed="false">
      <c r="A12" s="24" t="n">
        <v>2</v>
      </c>
      <c r="B12" s="46" t="s">
        <v>262</v>
      </c>
      <c r="C12" s="53" t="s">
        <v>263</v>
      </c>
    </row>
    <row r="13" customFormat="false" ht="21.75" hidden="false" customHeight="true" outlineLevel="0" collapsed="false">
      <c r="A13" s="17" t="n">
        <v>3</v>
      </c>
      <c r="B13" s="42" t="s">
        <v>264</v>
      </c>
      <c r="C13" s="52" t="s">
        <v>265</v>
      </c>
    </row>
    <row r="14" customFormat="false" ht="21.75" hidden="false" customHeight="true" outlineLevel="0" collapsed="false">
      <c r="A14" s="24" t="n">
        <v>4</v>
      </c>
      <c r="B14" s="46" t="s">
        <v>36</v>
      </c>
      <c r="C14" s="53" t="s">
        <v>266</v>
      </c>
    </row>
    <row r="15" customFormat="false" ht="21.75" hidden="false" customHeight="true" outlineLevel="0" collapsed="false">
      <c r="A15" s="17" t="n">
        <v>5</v>
      </c>
      <c r="B15" s="42" t="s">
        <v>38</v>
      </c>
      <c r="C15" s="52" t="s">
        <v>267</v>
      </c>
    </row>
    <row r="17" customFormat="false" ht="21.75" hidden="false" customHeight="true" outlineLevel="0" collapsed="false">
      <c r="A17" s="51" t="s">
        <v>268</v>
      </c>
      <c r="B17" s="51"/>
      <c r="C17" s="51"/>
    </row>
    <row r="18" customFormat="false" ht="21.75" hidden="false" customHeight="true" outlineLevel="0" collapsed="false">
      <c r="A18" s="17" t="n">
        <v>1</v>
      </c>
      <c r="B18" s="42" t="s">
        <v>269</v>
      </c>
      <c r="C18" s="52" t="s">
        <v>270</v>
      </c>
    </row>
    <row r="19" customFormat="false" ht="21.75" hidden="false" customHeight="true" outlineLevel="0" collapsed="false">
      <c r="A19" s="24" t="n">
        <v>2</v>
      </c>
      <c r="B19" s="46" t="s">
        <v>271</v>
      </c>
      <c r="C19" s="53" t="s">
        <v>272</v>
      </c>
    </row>
    <row r="20" customFormat="false" ht="21.75" hidden="false" customHeight="true" outlineLevel="0" collapsed="false">
      <c r="A20" s="17" t="n">
        <v>3</v>
      </c>
      <c r="B20" s="42" t="s">
        <v>273</v>
      </c>
      <c r="C20" s="52" t="s">
        <v>274</v>
      </c>
    </row>
    <row r="21" customFormat="false" ht="21.75" hidden="false" customHeight="true" outlineLevel="0" collapsed="false">
      <c r="A21" s="24" t="n">
        <v>4</v>
      </c>
      <c r="B21" s="46" t="s">
        <v>275</v>
      </c>
      <c r="C21" s="53" t="s">
        <v>276</v>
      </c>
    </row>
    <row r="22" customFormat="false" ht="21.75" hidden="false" customHeight="true" outlineLevel="0" collapsed="false">
      <c r="A22" s="17" t="n">
        <v>5</v>
      </c>
      <c r="B22" s="42" t="s">
        <v>277</v>
      </c>
      <c r="C22" s="52" t="s">
        <v>278</v>
      </c>
    </row>
    <row r="24" customFormat="false" ht="21.75" hidden="false" customHeight="true" outlineLevel="0" collapsed="false">
      <c r="A24" s="51" t="s">
        <v>279</v>
      </c>
      <c r="B24" s="51"/>
      <c r="C24" s="51"/>
    </row>
    <row r="25" customFormat="false" ht="21.75" hidden="false" customHeight="true" outlineLevel="0" collapsed="false">
      <c r="A25" s="17" t="n">
        <v>1</v>
      </c>
      <c r="B25" s="42" t="s">
        <v>15</v>
      </c>
      <c r="C25" s="52" t="s">
        <v>280</v>
      </c>
    </row>
    <row r="26" customFormat="false" ht="21.75" hidden="false" customHeight="true" outlineLevel="0" collapsed="false">
      <c r="A26" s="24" t="n">
        <v>2</v>
      </c>
      <c r="B26" s="46" t="s">
        <v>32</v>
      </c>
      <c r="C26" s="53" t="s">
        <v>281</v>
      </c>
    </row>
    <row r="27" customFormat="false" ht="21.75" hidden="false" customHeight="true" outlineLevel="0" collapsed="false">
      <c r="A27" s="17" t="n">
        <v>3</v>
      </c>
      <c r="B27" s="42" t="s">
        <v>282</v>
      </c>
      <c r="C27" s="52" t="s">
        <v>283</v>
      </c>
    </row>
  </sheetData>
  <mergeCells count="5">
    <mergeCell ref="A1:C1"/>
    <mergeCell ref="A3:C3"/>
    <mergeCell ref="A10:C10"/>
    <mergeCell ref="A17:C17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2026-06-26T01:59:44Z</dcterms:created>
  <dc:creator>openpyxl</dc:creator>
  <dc:description/>
  <dc:language>en-US</dc:language>
  <cp:lastModifiedBy/>
  <dcterms:modified xsi:type="dcterms:W3CDTF">2026-06-26T07:39:05Z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